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03274E1F-2EF6-4865-A83D-14798A15632B}" xr6:coauthVersionLast="47" xr6:coauthVersionMax="47" xr10:uidLastSave="{00000000-0000-0000-0000-000000000000}"/>
  <bookViews>
    <workbookView xWindow="-120" yWindow="-120" windowWidth="29040" windowHeight="15720" activeTab="1" xr2:uid="{D69DA1DC-6180-4A4E-9BC6-A47070EC828F}"/>
  </bookViews>
  <sheets>
    <sheet name="REPORT | RECAP" sheetId="3" r:id="rId1"/>
    <sheet name="INSTALLATION" sheetId="1" r:id="rId2"/>
    <sheet name="LINE OF SIGH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7" i="1" l="1"/>
  <c r="O76" i="1"/>
  <c r="O101" i="1"/>
  <c r="P101" i="1"/>
  <c r="O132" i="1"/>
  <c r="O163" i="1"/>
  <c r="O208" i="1"/>
  <c r="O226" i="1"/>
  <c r="O241" i="1"/>
  <c r="O260" i="1"/>
  <c r="O286" i="1"/>
  <c r="O301" i="1"/>
  <c r="O328" i="1"/>
  <c r="O358" i="1"/>
  <c r="O376" i="1"/>
  <c r="O410" i="1"/>
  <c r="O436" i="1"/>
  <c r="O491" i="1"/>
  <c r="O507" i="1"/>
  <c r="O535" i="1"/>
  <c r="O554" i="1"/>
  <c r="O583" i="1"/>
  <c r="O602" i="1"/>
  <c r="P602" i="1"/>
  <c r="O618" i="1"/>
  <c r="O650" i="1"/>
  <c r="O669" i="1"/>
  <c r="O695" i="1"/>
  <c r="O710" i="1"/>
  <c r="B710" i="1"/>
  <c r="A710" i="1"/>
  <c r="B695" i="1"/>
  <c r="A695" i="1"/>
  <c r="B669" i="1"/>
  <c r="A669" i="1"/>
  <c r="B650" i="1"/>
  <c r="A650" i="1"/>
  <c r="B618" i="1"/>
  <c r="A618" i="1"/>
  <c r="B602" i="1"/>
  <c r="A602" i="1"/>
  <c r="B583" i="1"/>
  <c r="A583" i="1"/>
  <c r="B554" i="1"/>
  <c r="A554" i="1"/>
  <c r="B535" i="1"/>
  <c r="A535" i="1"/>
  <c r="B507" i="1"/>
  <c r="A507" i="1"/>
  <c r="B491" i="1"/>
  <c r="A491" i="1"/>
  <c r="B436" i="1"/>
  <c r="A436" i="1"/>
  <c r="B410" i="1"/>
  <c r="A410" i="1"/>
  <c r="B376" i="1"/>
  <c r="A376" i="1"/>
  <c r="B358" i="1"/>
  <c r="A358" i="1"/>
  <c r="B328" i="1"/>
  <c r="A328" i="1"/>
  <c r="B301" i="1"/>
  <c r="A301" i="1"/>
  <c r="B286" i="1"/>
  <c r="A286" i="1"/>
  <c r="B260" i="1"/>
  <c r="A260" i="1"/>
  <c r="B241" i="1"/>
  <c r="A241" i="1"/>
  <c r="B226" i="1"/>
  <c r="A226" i="1"/>
  <c r="B208" i="1"/>
  <c r="A208" i="1"/>
  <c r="B163" i="1"/>
  <c r="A163" i="1"/>
  <c r="B132" i="1"/>
  <c r="A132" i="1"/>
  <c r="B101" i="1"/>
  <c r="A101" i="1"/>
  <c r="B76" i="1"/>
  <c r="A76" i="1"/>
  <c r="A47" i="1"/>
  <c r="B47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O710" i="4"/>
  <c r="N710" i="4"/>
  <c r="M710" i="4"/>
  <c r="L710" i="4"/>
  <c r="K710" i="4"/>
  <c r="J710" i="4"/>
  <c r="G710" i="4"/>
  <c r="F710" i="4"/>
  <c r="C710" i="4"/>
  <c r="P709" i="4"/>
  <c r="P708" i="4"/>
  <c r="P707" i="4"/>
  <c r="P706" i="4"/>
  <c r="P705" i="4"/>
  <c r="P704" i="4"/>
  <c r="P703" i="4"/>
  <c r="P702" i="4"/>
  <c r="P701" i="4"/>
  <c r="P700" i="4"/>
  <c r="P699" i="4"/>
  <c r="P698" i="4"/>
  <c r="P697" i="4"/>
  <c r="P710" i="4" s="1"/>
  <c r="P696" i="4"/>
  <c r="O695" i="4"/>
  <c r="N695" i="4"/>
  <c r="M695" i="4"/>
  <c r="L695" i="4"/>
  <c r="K695" i="4"/>
  <c r="J695" i="4"/>
  <c r="G695" i="4"/>
  <c r="F695" i="4"/>
  <c r="C695" i="4"/>
  <c r="P694" i="4"/>
  <c r="P693" i="4"/>
  <c r="P692" i="4"/>
  <c r="P691" i="4"/>
  <c r="P690" i="4"/>
  <c r="P689" i="4"/>
  <c r="P688" i="4"/>
  <c r="P687" i="4"/>
  <c r="P686" i="4"/>
  <c r="P685" i="4"/>
  <c r="P684" i="4"/>
  <c r="P683" i="4"/>
  <c r="P682" i="4"/>
  <c r="P681" i="4"/>
  <c r="P680" i="4"/>
  <c r="P695" i="4" s="1"/>
  <c r="P679" i="4"/>
  <c r="P678" i="4"/>
  <c r="P677" i="4"/>
  <c r="P676" i="4"/>
  <c r="P675" i="4"/>
  <c r="P674" i="4"/>
  <c r="P673" i="4"/>
  <c r="P672" i="4"/>
  <c r="P671" i="4"/>
  <c r="P670" i="4"/>
  <c r="O669" i="4"/>
  <c r="N669" i="4"/>
  <c r="M669" i="4"/>
  <c r="L669" i="4"/>
  <c r="K669" i="4"/>
  <c r="J669" i="4"/>
  <c r="G669" i="4"/>
  <c r="F669" i="4"/>
  <c r="C669" i="4"/>
  <c r="P668" i="4"/>
  <c r="P667" i="4"/>
  <c r="P666" i="4"/>
  <c r="P665" i="4"/>
  <c r="P664" i="4"/>
  <c r="P663" i="4"/>
  <c r="P662" i="4"/>
  <c r="P661" i="4"/>
  <c r="P660" i="4"/>
  <c r="P659" i="4"/>
  <c r="P658" i="4"/>
  <c r="P657" i="4"/>
  <c r="P656" i="4"/>
  <c r="P655" i="4"/>
  <c r="P654" i="4"/>
  <c r="P653" i="4"/>
  <c r="P669" i="4" s="1"/>
  <c r="P652" i="4"/>
  <c r="P651" i="4"/>
  <c r="O650" i="4"/>
  <c r="N650" i="4"/>
  <c r="M650" i="4"/>
  <c r="L650" i="4"/>
  <c r="K650" i="4"/>
  <c r="J650" i="4"/>
  <c r="G650" i="4"/>
  <c r="F650" i="4"/>
  <c r="C650" i="4"/>
  <c r="P649" i="4"/>
  <c r="P648" i="4"/>
  <c r="P647" i="4"/>
  <c r="P646" i="4"/>
  <c r="P645" i="4"/>
  <c r="P644" i="4"/>
  <c r="P643" i="4"/>
  <c r="P642" i="4"/>
  <c r="P641" i="4"/>
  <c r="P640" i="4"/>
  <c r="P639" i="4"/>
  <c r="P638" i="4"/>
  <c r="P637" i="4"/>
  <c r="P636" i="4"/>
  <c r="P635" i="4"/>
  <c r="P634" i="4"/>
  <c r="P633" i="4"/>
  <c r="P632" i="4"/>
  <c r="P631" i="4"/>
  <c r="P630" i="4"/>
  <c r="P629" i="4"/>
  <c r="P628" i="4"/>
  <c r="P627" i="4"/>
  <c r="P626" i="4"/>
  <c r="P650" i="4" s="1"/>
  <c r="P625" i="4"/>
  <c r="P624" i="4"/>
  <c r="P623" i="4"/>
  <c r="P622" i="4"/>
  <c r="P621" i="4"/>
  <c r="P620" i="4"/>
  <c r="P619" i="4"/>
  <c r="O618" i="4"/>
  <c r="N618" i="4"/>
  <c r="M618" i="4"/>
  <c r="L618" i="4"/>
  <c r="K618" i="4"/>
  <c r="J618" i="4"/>
  <c r="G618" i="4"/>
  <c r="F618" i="4"/>
  <c r="C618" i="4"/>
  <c r="P617" i="4"/>
  <c r="P616" i="4"/>
  <c r="P615" i="4"/>
  <c r="P614" i="4"/>
  <c r="P613" i="4"/>
  <c r="P612" i="4"/>
  <c r="P611" i="4"/>
  <c r="P610" i="4"/>
  <c r="P609" i="4"/>
  <c r="P608" i="4"/>
  <c r="P607" i="4"/>
  <c r="P606" i="4"/>
  <c r="P605" i="4"/>
  <c r="P604" i="4"/>
  <c r="P603" i="4"/>
  <c r="P618" i="4" s="1"/>
  <c r="O602" i="4"/>
  <c r="N602" i="4"/>
  <c r="M602" i="4"/>
  <c r="L602" i="4"/>
  <c r="K602" i="4"/>
  <c r="J602" i="4"/>
  <c r="G602" i="4"/>
  <c r="F602" i="4"/>
  <c r="C602" i="4"/>
  <c r="P601" i="4"/>
  <c r="P600" i="4"/>
  <c r="P599" i="4"/>
  <c r="P598" i="4"/>
  <c r="P597" i="4"/>
  <c r="P596" i="4"/>
  <c r="P595" i="4"/>
  <c r="P594" i="4"/>
  <c r="P593" i="4"/>
  <c r="P592" i="4"/>
  <c r="P591" i="4"/>
  <c r="P590" i="4"/>
  <c r="P589" i="4"/>
  <c r="P588" i="4"/>
  <c r="P587" i="4"/>
  <c r="P586" i="4"/>
  <c r="P585" i="4"/>
  <c r="P584" i="4"/>
  <c r="P602" i="4" s="1"/>
  <c r="O583" i="4"/>
  <c r="N583" i="4"/>
  <c r="M583" i="4"/>
  <c r="L583" i="4"/>
  <c r="K583" i="4"/>
  <c r="J583" i="4"/>
  <c r="G583" i="4"/>
  <c r="F583" i="4"/>
  <c r="C583" i="4"/>
  <c r="P582" i="4"/>
  <c r="P581" i="4"/>
  <c r="P580" i="4"/>
  <c r="P579" i="4"/>
  <c r="P578" i="4"/>
  <c r="P577" i="4"/>
  <c r="P576" i="4"/>
  <c r="P575" i="4"/>
  <c r="P574" i="4"/>
  <c r="P573" i="4"/>
  <c r="P572" i="4"/>
  <c r="P571" i="4"/>
  <c r="P570" i="4"/>
  <c r="P569" i="4"/>
  <c r="P568" i="4"/>
  <c r="P567" i="4"/>
  <c r="P566" i="4"/>
  <c r="P565" i="4"/>
  <c r="P564" i="4"/>
  <c r="P563" i="4"/>
  <c r="P562" i="4"/>
  <c r="P561" i="4"/>
  <c r="P560" i="4"/>
  <c r="P559" i="4"/>
  <c r="P558" i="4"/>
  <c r="P557" i="4"/>
  <c r="P556" i="4"/>
  <c r="P583" i="4" s="1"/>
  <c r="P555" i="4"/>
  <c r="O554" i="4"/>
  <c r="N554" i="4"/>
  <c r="M554" i="4"/>
  <c r="L554" i="4"/>
  <c r="K554" i="4"/>
  <c r="J554" i="4"/>
  <c r="G554" i="4"/>
  <c r="F554" i="4"/>
  <c r="C554" i="4"/>
  <c r="P553" i="4"/>
  <c r="P552" i="4"/>
  <c r="P551" i="4"/>
  <c r="P550" i="4"/>
  <c r="P549" i="4"/>
  <c r="P548" i="4"/>
  <c r="P547" i="4"/>
  <c r="P546" i="4"/>
  <c r="P545" i="4"/>
  <c r="P544" i="4"/>
  <c r="P543" i="4"/>
  <c r="P542" i="4"/>
  <c r="P541" i="4"/>
  <c r="P540" i="4"/>
  <c r="P539" i="4"/>
  <c r="P554" i="4" s="1"/>
  <c r="P538" i="4"/>
  <c r="P537" i="4"/>
  <c r="P536" i="4"/>
  <c r="O535" i="4"/>
  <c r="N535" i="4"/>
  <c r="M535" i="4"/>
  <c r="L535" i="4"/>
  <c r="K535" i="4"/>
  <c r="J535" i="4"/>
  <c r="G535" i="4"/>
  <c r="F535" i="4"/>
  <c r="C535" i="4"/>
  <c r="P534" i="4"/>
  <c r="P533" i="4"/>
  <c r="P532" i="4"/>
  <c r="P531" i="4"/>
  <c r="P530" i="4"/>
  <c r="P529" i="4"/>
  <c r="P528" i="4"/>
  <c r="P527" i="4"/>
  <c r="P526" i="4"/>
  <c r="P525" i="4"/>
  <c r="P524" i="4"/>
  <c r="P523" i="4"/>
  <c r="P522" i="4"/>
  <c r="P521" i="4"/>
  <c r="P520" i="4"/>
  <c r="P519" i="4"/>
  <c r="P518" i="4"/>
  <c r="P517" i="4"/>
  <c r="P516" i="4"/>
  <c r="P515" i="4"/>
  <c r="P514" i="4"/>
  <c r="P513" i="4"/>
  <c r="P512" i="4"/>
  <c r="P535" i="4" s="1"/>
  <c r="P511" i="4"/>
  <c r="P510" i="4"/>
  <c r="P509" i="4"/>
  <c r="P508" i="4"/>
  <c r="O507" i="4"/>
  <c r="N507" i="4"/>
  <c r="M507" i="4"/>
  <c r="L507" i="4"/>
  <c r="K507" i="4"/>
  <c r="J507" i="4"/>
  <c r="G507" i="4"/>
  <c r="F507" i="4"/>
  <c r="C507" i="4"/>
  <c r="P506" i="4"/>
  <c r="P505" i="4"/>
  <c r="P504" i="4"/>
  <c r="P503" i="4"/>
  <c r="P502" i="4"/>
  <c r="P501" i="4"/>
  <c r="P500" i="4"/>
  <c r="P499" i="4"/>
  <c r="P498" i="4"/>
  <c r="P497" i="4"/>
  <c r="P496" i="4"/>
  <c r="P495" i="4"/>
  <c r="P494" i="4"/>
  <c r="P493" i="4"/>
  <c r="P492" i="4"/>
  <c r="P507" i="4" s="1"/>
  <c r="O491" i="4"/>
  <c r="N491" i="4"/>
  <c r="M491" i="4"/>
  <c r="L491" i="4"/>
  <c r="K491" i="4"/>
  <c r="J491" i="4"/>
  <c r="G491" i="4"/>
  <c r="F491" i="4"/>
  <c r="C491" i="4"/>
  <c r="P490" i="4"/>
  <c r="P489" i="4"/>
  <c r="P488" i="4"/>
  <c r="P487" i="4"/>
  <c r="P486" i="4"/>
  <c r="P485" i="4"/>
  <c r="P484" i="4"/>
  <c r="P483" i="4"/>
  <c r="P482" i="4"/>
  <c r="P481" i="4"/>
  <c r="P480" i="4"/>
  <c r="P479" i="4"/>
  <c r="P478" i="4"/>
  <c r="P477" i="4"/>
  <c r="P476" i="4"/>
  <c r="P475" i="4"/>
  <c r="P474" i="4"/>
  <c r="P473" i="4"/>
  <c r="P472" i="4"/>
  <c r="P471" i="4"/>
  <c r="P470" i="4"/>
  <c r="P469" i="4"/>
  <c r="P468" i="4"/>
  <c r="P467" i="4"/>
  <c r="P466" i="4"/>
  <c r="P465" i="4"/>
  <c r="P464" i="4"/>
  <c r="P463" i="4"/>
  <c r="P462" i="4"/>
  <c r="P461" i="4"/>
  <c r="P460" i="4"/>
  <c r="P459" i="4"/>
  <c r="P458" i="4"/>
  <c r="P457" i="4"/>
  <c r="P456" i="4"/>
  <c r="P455" i="4"/>
  <c r="P454" i="4"/>
  <c r="P453" i="4"/>
  <c r="P452" i="4"/>
  <c r="P451" i="4"/>
  <c r="P450" i="4"/>
  <c r="P449" i="4"/>
  <c r="P448" i="4"/>
  <c r="P447" i="4"/>
  <c r="P446" i="4"/>
  <c r="P445" i="4"/>
  <c r="P444" i="4"/>
  <c r="P443" i="4"/>
  <c r="P442" i="4"/>
  <c r="P441" i="4"/>
  <c r="P440" i="4"/>
  <c r="P439" i="4"/>
  <c r="P438" i="4"/>
  <c r="P491" i="4" s="1"/>
  <c r="P437" i="4"/>
  <c r="O436" i="4"/>
  <c r="N436" i="4"/>
  <c r="M436" i="4"/>
  <c r="L436" i="4"/>
  <c r="K436" i="4"/>
  <c r="J436" i="4"/>
  <c r="G436" i="4"/>
  <c r="F436" i="4"/>
  <c r="C436" i="4"/>
  <c r="P435" i="4"/>
  <c r="P434" i="4"/>
  <c r="P433" i="4"/>
  <c r="P432" i="4"/>
  <c r="P431" i="4"/>
  <c r="P430" i="4"/>
  <c r="P429" i="4"/>
  <c r="P428" i="4"/>
  <c r="P427" i="4"/>
  <c r="P426" i="4"/>
  <c r="P425" i="4"/>
  <c r="P424" i="4"/>
  <c r="P423" i="4"/>
  <c r="P422" i="4"/>
  <c r="P421" i="4"/>
  <c r="P420" i="4"/>
  <c r="P419" i="4"/>
  <c r="P418" i="4"/>
  <c r="P417" i="4"/>
  <c r="P416" i="4"/>
  <c r="P415" i="4"/>
  <c r="P414" i="4"/>
  <c r="P413" i="4"/>
  <c r="P412" i="4"/>
  <c r="P411" i="4"/>
  <c r="P436" i="4" s="1"/>
  <c r="O410" i="4"/>
  <c r="N410" i="4"/>
  <c r="M410" i="4"/>
  <c r="L410" i="4"/>
  <c r="K410" i="4"/>
  <c r="J410" i="4"/>
  <c r="G410" i="4"/>
  <c r="F410" i="4"/>
  <c r="C410" i="4"/>
  <c r="P409" i="4"/>
  <c r="P408" i="4"/>
  <c r="P407" i="4"/>
  <c r="P406" i="4"/>
  <c r="P405" i="4"/>
  <c r="P404" i="4"/>
  <c r="P403" i="4"/>
  <c r="P402" i="4"/>
  <c r="P401" i="4"/>
  <c r="P400" i="4"/>
  <c r="P399" i="4"/>
  <c r="P398" i="4"/>
  <c r="P397" i="4"/>
  <c r="P396" i="4"/>
  <c r="P395" i="4"/>
  <c r="P394" i="4"/>
  <c r="P393" i="4"/>
  <c r="P392" i="4"/>
  <c r="P391" i="4"/>
  <c r="P390" i="4"/>
  <c r="P389" i="4"/>
  <c r="P388" i="4"/>
  <c r="P387" i="4"/>
  <c r="P386" i="4"/>
  <c r="P385" i="4"/>
  <c r="P384" i="4"/>
  <c r="P383" i="4"/>
  <c r="P382" i="4"/>
  <c r="P381" i="4"/>
  <c r="P380" i="4"/>
  <c r="P410" i="4" s="1"/>
  <c r="P379" i="4"/>
  <c r="P378" i="4"/>
  <c r="P377" i="4"/>
  <c r="O376" i="4"/>
  <c r="N376" i="4"/>
  <c r="M376" i="4"/>
  <c r="L376" i="4"/>
  <c r="K376" i="4"/>
  <c r="J376" i="4"/>
  <c r="G376" i="4"/>
  <c r="F376" i="4"/>
  <c r="C376" i="4"/>
  <c r="P375" i="4"/>
  <c r="P374" i="4"/>
  <c r="P373" i="4"/>
  <c r="P372" i="4"/>
  <c r="P371" i="4"/>
  <c r="P370" i="4"/>
  <c r="P369" i="4"/>
  <c r="P368" i="4"/>
  <c r="P367" i="4"/>
  <c r="P366" i="4"/>
  <c r="P365" i="4"/>
  <c r="P364" i="4"/>
  <c r="P363" i="4"/>
  <c r="P362" i="4"/>
  <c r="P361" i="4"/>
  <c r="P360" i="4"/>
  <c r="P359" i="4"/>
  <c r="P376" i="4" s="1"/>
  <c r="O358" i="4"/>
  <c r="N358" i="4"/>
  <c r="M358" i="4"/>
  <c r="L358" i="4"/>
  <c r="K358" i="4"/>
  <c r="J358" i="4"/>
  <c r="G358" i="4"/>
  <c r="F358" i="4"/>
  <c r="C358" i="4"/>
  <c r="P357" i="4"/>
  <c r="P356" i="4"/>
  <c r="P355" i="4"/>
  <c r="P354" i="4"/>
  <c r="P353" i="4"/>
  <c r="P352" i="4"/>
  <c r="P351" i="4"/>
  <c r="P350" i="4"/>
  <c r="P349" i="4"/>
  <c r="P348" i="4"/>
  <c r="P347" i="4"/>
  <c r="P346" i="4"/>
  <c r="P345" i="4"/>
  <c r="P344" i="4"/>
  <c r="P343" i="4"/>
  <c r="P342" i="4"/>
  <c r="P341" i="4"/>
  <c r="P340" i="4"/>
  <c r="P339" i="4"/>
  <c r="P338" i="4"/>
  <c r="P337" i="4"/>
  <c r="P336" i="4"/>
  <c r="P335" i="4"/>
  <c r="P334" i="4"/>
  <c r="P333" i="4"/>
  <c r="P332" i="4"/>
  <c r="P331" i="4"/>
  <c r="P330" i="4"/>
  <c r="P329" i="4"/>
  <c r="P358" i="4" s="1"/>
  <c r="O328" i="4"/>
  <c r="N328" i="4"/>
  <c r="M328" i="4"/>
  <c r="L328" i="4"/>
  <c r="K328" i="4"/>
  <c r="J328" i="4"/>
  <c r="G328" i="4"/>
  <c r="F328" i="4"/>
  <c r="C328" i="4"/>
  <c r="P327" i="4"/>
  <c r="P326" i="4"/>
  <c r="P325" i="4"/>
  <c r="P324" i="4"/>
  <c r="P323" i="4"/>
  <c r="P322" i="4"/>
  <c r="P321" i="4"/>
  <c r="P320" i="4"/>
  <c r="P319" i="4"/>
  <c r="P318" i="4"/>
  <c r="P317" i="4"/>
  <c r="P316" i="4"/>
  <c r="P315" i="4"/>
  <c r="P314" i="4"/>
  <c r="P313" i="4"/>
  <c r="P312" i="4"/>
  <c r="P311" i="4"/>
  <c r="P310" i="4"/>
  <c r="P309" i="4"/>
  <c r="P308" i="4"/>
  <c r="P307" i="4"/>
  <c r="P306" i="4"/>
  <c r="P305" i="4"/>
  <c r="P304" i="4"/>
  <c r="P303" i="4"/>
  <c r="P328" i="4" s="1"/>
  <c r="P302" i="4"/>
  <c r="O301" i="4"/>
  <c r="N301" i="4"/>
  <c r="M301" i="4"/>
  <c r="L301" i="4"/>
  <c r="K301" i="4"/>
  <c r="J301" i="4"/>
  <c r="G301" i="4"/>
  <c r="F301" i="4"/>
  <c r="C301" i="4"/>
  <c r="P300" i="4"/>
  <c r="P299" i="4"/>
  <c r="P298" i="4"/>
  <c r="P297" i="4"/>
  <c r="P296" i="4"/>
  <c r="P295" i="4"/>
  <c r="P294" i="4"/>
  <c r="P293" i="4"/>
  <c r="P292" i="4"/>
  <c r="P291" i="4"/>
  <c r="P290" i="4"/>
  <c r="P289" i="4"/>
  <c r="P288" i="4"/>
  <c r="P301" i="4" s="1"/>
  <c r="P287" i="4"/>
  <c r="O286" i="4"/>
  <c r="N286" i="4"/>
  <c r="M286" i="4"/>
  <c r="L286" i="4"/>
  <c r="K286" i="4"/>
  <c r="J286" i="4"/>
  <c r="G286" i="4"/>
  <c r="F286" i="4"/>
  <c r="C286" i="4"/>
  <c r="P285" i="4"/>
  <c r="P284" i="4"/>
  <c r="P283" i="4"/>
  <c r="P282" i="4"/>
  <c r="P281" i="4"/>
  <c r="P280" i="4"/>
  <c r="P279" i="4"/>
  <c r="P278" i="4"/>
  <c r="P277" i="4"/>
  <c r="P276" i="4"/>
  <c r="P275" i="4"/>
  <c r="P274" i="4"/>
  <c r="P273" i="4"/>
  <c r="P272" i="4"/>
  <c r="P271" i="4"/>
  <c r="P270" i="4"/>
  <c r="P269" i="4"/>
  <c r="P268" i="4"/>
  <c r="P267" i="4"/>
  <c r="P266" i="4"/>
  <c r="P265" i="4"/>
  <c r="P264" i="4"/>
  <c r="P263" i="4"/>
  <c r="P262" i="4"/>
  <c r="P261" i="4"/>
  <c r="P286" i="4" s="1"/>
  <c r="O260" i="4"/>
  <c r="N260" i="4"/>
  <c r="M260" i="4"/>
  <c r="L260" i="4"/>
  <c r="K260" i="4"/>
  <c r="J260" i="4"/>
  <c r="G260" i="4"/>
  <c r="F260" i="4"/>
  <c r="C260" i="4"/>
  <c r="P259" i="4"/>
  <c r="P258" i="4"/>
  <c r="P257" i="4"/>
  <c r="P256" i="4"/>
  <c r="P255" i="4"/>
  <c r="P254" i="4"/>
  <c r="P253" i="4"/>
  <c r="P252" i="4"/>
  <c r="P251" i="4"/>
  <c r="P250" i="4"/>
  <c r="P249" i="4"/>
  <c r="P248" i="4"/>
  <c r="P247" i="4"/>
  <c r="P246" i="4"/>
  <c r="P245" i="4"/>
  <c r="P244" i="4"/>
  <c r="P243" i="4"/>
  <c r="P242" i="4"/>
  <c r="P260" i="4" s="1"/>
  <c r="O241" i="4"/>
  <c r="N241" i="4"/>
  <c r="M241" i="4"/>
  <c r="L241" i="4"/>
  <c r="K241" i="4"/>
  <c r="J241" i="4"/>
  <c r="G241" i="4"/>
  <c r="F241" i="4"/>
  <c r="C241" i="4"/>
  <c r="P240" i="4"/>
  <c r="P239" i="4"/>
  <c r="P238" i="4"/>
  <c r="P237" i="4"/>
  <c r="P236" i="4"/>
  <c r="P235" i="4"/>
  <c r="P234" i="4"/>
  <c r="P233" i="4"/>
  <c r="P232" i="4"/>
  <c r="P231" i="4"/>
  <c r="P230" i="4"/>
  <c r="P229" i="4"/>
  <c r="P228" i="4"/>
  <c r="P227" i="4"/>
  <c r="P241" i="4" s="1"/>
  <c r="O226" i="4"/>
  <c r="N226" i="4"/>
  <c r="M226" i="4"/>
  <c r="L226" i="4"/>
  <c r="K226" i="4"/>
  <c r="J226" i="4"/>
  <c r="G226" i="4"/>
  <c r="F226" i="4"/>
  <c r="C226" i="4"/>
  <c r="P225" i="4"/>
  <c r="P224" i="4"/>
  <c r="P223" i="4"/>
  <c r="P222" i="4"/>
  <c r="P221" i="4"/>
  <c r="P220" i="4"/>
  <c r="P219" i="4"/>
  <c r="P218" i="4"/>
  <c r="P217" i="4"/>
  <c r="P216" i="4"/>
  <c r="P215" i="4"/>
  <c r="P214" i="4"/>
  <c r="P213" i="4"/>
  <c r="P212" i="4"/>
  <c r="P211" i="4"/>
  <c r="P226" i="4" s="1"/>
  <c r="P210" i="4"/>
  <c r="P209" i="4"/>
  <c r="O208" i="4"/>
  <c r="N208" i="4"/>
  <c r="M208" i="4"/>
  <c r="L208" i="4"/>
  <c r="K208" i="4"/>
  <c r="J208" i="4"/>
  <c r="G208" i="4"/>
  <c r="F208" i="4"/>
  <c r="C208" i="4"/>
  <c r="P207" i="4"/>
  <c r="P206" i="4"/>
  <c r="P205" i="4"/>
  <c r="P204" i="4"/>
  <c r="P203" i="4"/>
  <c r="P202" i="4"/>
  <c r="P201" i="4"/>
  <c r="P200" i="4"/>
  <c r="P199" i="4"/>
  <c r="P198" i="4"/>
  <c r="P197" i="4"/>
  <c r="P196" i="4"/>
  <c r="P195" i="4"/>
  <c r="P194" i="4"/>
  <c r="P193" i="4"/>
  <c r="P192" i="4"/>
  <c r="P191" i="4"/>
  <c r="P190" i="4"/>
  <c r="P189" i="4"/>
  <c r="P188" i="4"/>
  <c r="P187" i="4"/>
  <c r="P186" i="4"/>
  <c r="P185" i="4"/>
  <c r="P184" i="4"/>
  <c r="P183" i="4"/>
  <c r="P182" i="4"/>
  <c r="P181" i="4"/>
  <c r="P180" i="4"/>
  <c r="P179" i="4"/>
  <c r="P178" i="4"/>
  <c r="P177" i="4"/>
  <c r="P176" i="4"/>
  <c r="P175" i="4"/>
  <c r="P174" i="4"/>
  <c r="P173" i="4"/>
  <c r="P172" i="4"/>
  <c r="P171" i="4"/>
  <c r="P170" i="4"/>
  <c r="P169" i="4"/>
  <c r="P168" i="4"/>
  <c r="P167" i="4"/>
  <c r="P166" i="4"/>
  <c r="P165" i="4"/>
  <c r="P208" i="4" s="1"/>
  <c r="P164" i="4"/>
  <c r="O163" i="4"/>
  <c r="N163" i="4"/>
  <c r="M163" i="4"/>
  <c r="L163" i="4"/>
  <c r="K163" i="4"/>
  <c r="J163" i="4"/>
  <c r="G163" i="4"/>
  <c r="F163" i="4"/>
  <c r="C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63" i="4" s="1"/>
  <c r="O132" i="4"/>
  <c r="N132" i="4"/>
  <c r="M132" i="4"/>
  <c r="L132" i="4"/>
  <c r="K132" i="4"/>
  <c r="J132" i="4"/>
  <c r="G132" i="4"/>
  <c r="F132" i="4"/>
  <c r="C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32" i="4" s="1"/>
  <c r="O101" i="4"/>
  <c r="N101" i="4"/>
  <c r="M101" i="4"/>
  <c r="L101" i="4"/>
  <c r="K101" i="4"/>
  <c r="J101" i="4"/>
  <c r="G101" i="4"/>
  <c r="F101" i="4"/>
  <c r="C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101" i="4" s="1"/>
  <c r="P83" i="4"/>
  <c r="P82" i="4"/>
  <c r="P81" i="4"/>
  <c r="P80" i="4"/>
  <c r="P79" i="4"/>
  <c r="P78" i="4"/>
  <c r="P77" i="4"/>
  <c r="O76" i="4"/>
  <c r="N76" i="4"/>
  <c r="M76" i="4"/>
  <c r="L76" i="4"/>
  <c r="K76" i="4"/>
  <c r="J76" i="4"/>
  <c r="G76" i="4"/>
  <c r="F76" i="4"/>
  <c r="C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76" i="4" s="1"/>
  <c r="O47" i="4"/>
  <c r="N47" i="4"/>
  <c r="M47" i="4"/>
  <c r="L47" i="4"/>
  <c r="K47" i="4"/>
  <c r="J47" i="4"/>
  <c r="G47" i="4"/>
  <c r="F47" i="4"/>
  <c r="C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47" i="4" s="1"/>
  <c r="P5" i="4"/>
  <c r="P4" i="4"/>
  <c r="P3" i="4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J286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P163" i="1"/>
  <c r="R710" i="1" l="1"/>
  <c r="Q328" i="1"/>
  <c r="Q241" i="1"/>
  <c r="Q301" i="1"/>
  <c r="Q710" i="1"/>
  <c r="Q695" i="1"/>
  <c r="Q669" i="1"/>
  <c r="Q650" i="1"/>
  <c r="Q618" i="1"/>
  <c r="Q602" i="1"/>
  <c r="Q583" i="1"/>
  <c r="Q554" i="1"/>
  <c r="Q535" i="1"/>
  <c r="Q507" i="1"/>
  <c r="Q491" i="1"/>
  <c r="Q436" i="1"/>
  <c r="Q410" i="1"/>
  <c r="Q376" i="1"/>
  <c r="Q358" i="1"/>
  <c r="Q260" i="1"/>
  <c r="Q226" i="1"/>
  <c r="Q208" i="1"/>
  <c r="Q163" i="1"/>
  <c r="Q132" i="1"/>
  <c r="Q101" i="1"/>
  <c r="Q47" i="1"/>
  <c r="Q76" i="1"/>
  <c r="Q286" i="1"/>
  <c r="C710" i="1"/>
  <c r="C695" i="1"/>
  <c r="C669" i="1"/>
  <c r="C650" i="1"/>
  <c r="C618" i="1"/>
  <c r="C602" i="1"/>
  <c r="C583" i="1"/>
  <c r="C554" i="1"/>
  <c r="C535" i="1"/>
  <c r="C507" i="1"/>
  <c r="C491" i="1"/>
  <c r="C436" i="1"/>
  <c r="C410" i="1"/>
  <c r="C376" i="1"/>
  <c r="C358" i="1"/>
  <c r="C328" i="1"/>
  <c r="C301" i="1"/>
  <c r="C286" i="1"/>
  <c r="C260" i="1"/>
  <c r="C241" i="1"/>
  <c r="C226" i="1"/>
  <c r="C208" i="1"/>
  <c r="C163" i="1"/>
  <c r="C132" i="1"/>
  <c r="C101" i="1"/>
  <c r="C76" i="1"/>
  <c r="C47" i="1"/>
  <c r="P710" i="1"/>
  <c r="N710" i="1"/>
  <c r="M710" i="1"/>
  <c r="L710" i="1"/>
  <c r="K710" i="1"/>
  <c r="J710" i="1"/>
  <c r="G710" i="1"/>
  <c r="F710" i="1"/>
  <c r="J695" i="1"/>
  <c r="P695" i="1"/>
  <c r="N695" i="1"/>
  <c r="M695" i="1"/>
  <c r="L695" i="1"/>
  <c r="K695" i="1"/>
  <c r="G695" i="1"/>
  <c r="F695" i="1"/>
  <c r="P669" i="1"/>
  <c r="N669" i="1"/>
  <c r="M669" i="1"/>
  <c r="L669" i="1"/>
  <c r="K669" i="1"/>
  <c r="J669" i="1"/>
  <c r="G669" i="1"/>
  <c r="F669" i="1"/>
  <c r="J650" i="1"/>
  <c r="P650" i="1"/>
  <c r="N650" i="1"/>
  <c r="M650" i="1"/>
  <c r="L650" i="1"/>
  <c r="K650" i="1"/>
  <c r="G650" i="1"/>
  <c r="F650" i="1"/>
  <c r="P618" i="1"/>
  <c r="N618" i="1"/>
  <c r="M618" i="1"/>
  <c r="L618" i="1"/>
  <c r="K618" i="1"/>
  <c r="J618" i="1"/>
  <c r="G618" i="1"/>
  <c r="F618" i="1"/>
  <c r="N602" i="1"/>
  <c r="M602" i="1"/>
  <c r="L602" i="1"/>
  <c r="K602" i="1"/>
  <c r="J602" i="1"/>
  <c r="G602" i="1"/>
  <c r="F602" i="1"/>
  <c r="P583" i="1"/>
  <c r="N583" i="1"/>
  <c r="M583" i="1"/>
  <c r="L583" i="1"/>
  <c r="K583" i="1"/>
  <c r="J583" i="1"/>
  <c r="G583" i="1"/>
  <c r="F583" i="1"/>
  <c r="G554" i="1"/>
  <c r="P554" i="1"/>
  <c r="N554" i="1"/>
  <c r="M554" i="1"/>
  <c r="L554" i="1"/>
  <c r="K554" i="1"/>
  <c r="J554" i="1"/>
  <c r="F554" i="1"/>
  <c r="J535" i="1"/>
  <c r="P535" i="1"/>
  <c r="N535" i="1"/>
  <c r="M535" i="1"/>
  <c r="L535" i="1"/>
  <c r="K535" i="1"/>
  <c r="G535" i="1"/>
  <c r="F535" i="1"/>
  <c r="P507" i="1"/>
  <c r="N507" i="1"/>
  <c r="M507" i="1"/>
  <c r="L507" i="1"/>
  <c r="K507" i="1"/>
  <c r="J507" i="1"/>
  <c r="G507" i="1"/>
  <c r="F507" i="1"/>
  <c r="P491" i="1"/>
  <c r="N491" i="1"/>
  <c r="M491" i="1"/>
  <c r="L491" i="1"/>
  <c r="K491" i="1"/>
  <c r="J491" i="1"/>
  <c r="G491" i="1"/>
  <c r="F491" i="1"/>
  <c r="P436" i="1"/>
  <c r="N436" i="1"/>
  <c r="M436" i="1"/>
  <c r="L436" i="1"/>
  <c r="K436" i="1"/>
  <c r="J436" i="1"/>
  <c r="G436" i="1"/>
  <c r="F436" i="1"/>
  <c r="M410" i="1"/>
  <c r="P410" i="1"/>
  <c r="N410" i="1"/>
  <c r="L410" i="1"/>
  <c r="K410" i="1"/>
  <c r="J410" i="1"/>
  <c r="G410" i="1"/>
  <c r="F410" i="1"/>
  <c r="P376" i="1"/>
  <c r="N376" i="1"/>
  <c r="M376" i="1"/>
  <c r="L376" i="1"/>
  <c r="K376" i="1"/>
  <c r="J376" i="1"/>
  <c r="G376" i="1"/>
  <c r="F376" i="1"/>
  <c r="G358" i="1"/>
  <c r="P358" i="1"/>
  <c r="N358" i="1"/>
  <c r="M358" i="1"/>
  <c r="L358" i="1"/>
  <c r="K358" i="1"/>
  <c r="J358" i="1"/>
  <c r="F358" i="1"/>
  <c r="P328" i="1"/>
  <c r="J328" i="1"/>
  <c r="N328" i="1"/>
  <c r="M328" i="1"/>
  <c r="L328" i="1"/>
  <c r="K328" i="1"/>
  <c r="G328" i="1"/>
  <c r="F328" i="1"/>
  <c r="P301" i="1"/>
  <c r="N301" i="1"/>
  <c r="M301" i="1"/>
  <c r="L301" i="1"/>
  <c r="K301" i="1"/>
  <c r="J301" i="1"/>
  <c r="G301" i="1"/>
  <c r="F301" i="1"/>
  <c r="P286" i="1"/>
  <c r="N286" i="1"/>
  <c r="M286" i="1"/>
  <c r="L286" i="1"/>
  <c r="K286" i="1"/>
  <c r="G286" i="1"/>
  <c r="F286" i="1"/>
  <c r="P260" i="1"/>
  <c r="N260" i="1"/>
  <c r="M260" i="1"/>
  <c r="L260" i="1"/>
  <c r="K260" i="1"/>
  <c r="J260" i="1"/>
  <c r="G260" i="1"/>
  <c r="F260" i="1"/>
  <c r="P241" i="1"/>
  <c r="N241" i="1"/>
  <c r="M241" i="1"/>
  <c r="L241" i="1"/>
  <c r="K241" i="1"/>
  <c r="J241" i="1"/>
  <c r="G241" i="1"/>
  <c r="F241" i="1"/>
  <c r="M226" i="1"/>
  <c r="N226" i="1"/>
  <c r="N208" i="1"/>
  <c r="N163" i="1"/>
  <c r="N132" i="1"/>
  <c r="N101" i="1"/>
  <c r="N76" i="1"/>
  <c r="N47" i="1"/>
  <c r="P226" i="1"/>
  <c r="L226" i="1"/>
  <c r="K226" i="1"/>
  <c r="J226" i="1"/>
  <c r="G226" i="1"/>
  <c r="F226" i="1"/>
  <c r="P208" i="1"/>
  <c r="M208" i="1"/>
  <c r="L208" i="1"/>
  <c r="K208" i="1"/>
  <c r="J208" i="1"/>
  <c r="G208" i="1"/>
  <c r="F208" i="1"/>
  <c r="F163" i="1"/>
  <c r="M163" i="1"/>
  <c r="L163" i="1"/>
  <c r="K163" i="1"/>
  <c r="J163" i="1"/>
  <c r="G163" i="1"/>
  <c r="P132" i="1"/>
  <c r="M132" i="1"/>
  <c r="L132" i="1"/>
  <c r="K132" i="1"/>
  <c r="J132" i="1"/>
  <c r="G132" i="1"/>
  <c r="F132" i="1"/>
  <c r="M101" i="1"/>
  <c r="L101" i="1"/>
  <c r="K101" i="1"/>
  <c r="J101" i="1"/>
  <c r="P47" i="1"/>
  <c r="P76" i="1"/>
  <c r="M76" i="1"/>
  <c r="L76" i="1"/>
  <c r="K76" i="1"/>
  <c r="J76" i="1"/>
  <c r="M47" i="1"/>
  <c r="L47" i="1"/>
  <c r="K47" i="1"/>
  <c r="J47" i="1"/>
  <c r="G101" i="1"/>
  <c r="F101" i="1"/>
  <c r="G76" i="1"/>
  <c r="F76" i="1"/>
  <c r="G47" i="1"/>
  <c r="F47" i="1"/>
  <c r="R286" i="1" l="1"/>
  <c r="R47" i="1"/>
  <c r="R554" i="1"/>
  <c r="R101" i="1"/>
  <c r="R163" i="1"/>
  <c r="R260" i="1"/>
  <c r="R535" i="1"/>
  <c r="R301" i="1"/>
  <c r="R328" i="1"/>
  <c r="R376" i="1"/>
  <c r="R491" i="1"/>
  <c r="R618" i="1"/>
  <c r="R650" i="1"/>
  <c r="R226" i="1"/>
  <c r="R241" i="1"/>
  <c r="R132" i="1"/>
  <c r="R358" i="1"/>
  <c r="R76" i="1"/>
  <c r="R208" i="1"/>
  <c r="R436" i="1"/>
  <c r="R602" i="1"/>
  <c r="R669" i="1"/>
  <c r="R695" i="1"/>
  <c r="R410" i="1"/>
  <c r="R507" i="1"/>
  <c r="R583" i="1"/>
  <c r="B15" i="3" a="1"/>
  <c r="B15" i="3" s="1"/>
  <c r="B32" i="3" a="1"/>
  <c r="B32" i="3" s="1"/>
  <c r="B17" i="3" a="1"/>
  <c r="B17" i="3" s="1"/>
  <c r="B16" i="3" a="1"/>
  <c r="B16" i="3" s="1"/>
  <c r="B31" i="3" a="1"/>
  <c r="B31" i="3" s="1"/>
  <c r="B30" i="3" a="1"/>
  <c r="B30" i="3" s="1"/>
  <c r="B29" i="3" a="1"/>
  <c r="B29" i="3" s="1"/>
  <c r="B28" i="3" a="1"/>
  <c r="B28" i="3" s="1"/>
  <c r="B27" i="3" a="1"/>
  <c r="B27" i="3" s="1"/>
  <c r="B26" i="3" a="1"/>
  <c r="B26" i="3" s="1"/>
  <c r="B25" i="3" a="1"/>
  <c r="B25" i="3" s="1"/>
  <c r="B24" i="3" a="1"/>
  <c r="B24" i="3" s="1"/>
  <c r="B23" i="3" a="1"/>
  <c r="B23" i="3" s="1"/>
  <c r="B22" i="3" a="1"/>
  <c r="B22" i="3" s="1"/>
  <c r="B21" i="3" a="1"/>
  <c r="B21" i="3" s="1"/>
  <c r="B20" i="3" a="1"/>
  <c r="B20" i="3" s="1"/>
  <c r="B19" i="3" a="1"/>
  <c r="B19" i="3" s="1"/>
  <c r="B18" i="3" a="1"/>
  <c r="B18" i="3" s="1"/>
  <c r="B14" i="3" a="1"/>
  <c r="B14" i="3" s="1"/>
  <c r="B13" i="3" a="1"/>
  <c r="B13" i="3" s="1"/>
  <c r="B12" i="3" a="1"/>
  <c r="B12" i="3" s="1"/>
  <c r="B11" i="3" a="1"/>
  <c r="B11" i="3" s="1"/>
  <c r="B10" i="3" a="1"/>
  <c r="B10" i="3" s="1"/>
  <c r="B9" i="3" a="1"/>
  <c r="B9" i="3" s="1"/>
  <c r="B6" i="3" a="1"/>
  <c r="B7" i="3" a="1"/>
  <c r="B7" i="3" s="1"/>
  <c r="B8" i="3" a="1"/>
  <c r="B8" i="3" s="1"/>
  <c r="B6" i="3" l="1"/>
  <c r="B33" i="3" s="1"/>
  <c r="P33" i="3"/>
  <c r="O49" i="3" s="1"/>
  <c r="N33" i="3"/>
  <c r="Q33" i="3"/>
  <c r="O50" i="3" s="1"/>
  <c r="E33" i="3"/>
  <c r="D33" i="3"/>
  <c r="K33" i="3"/>
  <c r="G33" i="3"/>
  <c r="D47" i="3" s="1"/>
  <c r="M33" i="3"/>
  <c r="O33" i="3"/>
  <c r="O48" i="3" s="1"/>
  <c r="F33" i="3"/>
  <c r="L33" i="3"/>
  <c r="R33" i="3"/>
  <c r="D49" i="3" s="1"/>
  <c r="H33" i="3"/>
  <c r="D48" i="3" s="1"/>
  <c r="D51" i="3" l="1"/>
  <c r="O47" i="3"/>
  <c r="O51" i="3"/>
  <c r="D50" i="3"/>
  <c r="D46" i="3"/>
  <c r="O4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<sst xmlns="http://schemas.openxmlformats.org/spreadsheetml/2006/main" count="9336" uniqueCount="1433">
  <si>
    <t>MUNICIPALITY</t>
  </si>
  <si>
    <t>BARANGAYS</t>
  </si>
  <si>
    <t>LOS</t>
  </si>
  <si>
    <t>INSTALLATIONS</t>
  </si>
  <si>
    <t>BAP</t>
  </si>
  <si>
    <t>ELS</t>
  </si>
  <si>
    <t>NHS</t>
  </si>
  <si>
    <t>NO</t>
  </si>
  <si>
    <t>ARORA</t>
  </si>
  <si>
    <t>MARGOSATUBIG</t>
  </si>
  <si>
    <t>Acad</t>
  </si>
  <si>
    <t>Alegria</t>
  </si>
  <si>
    <t>Anonang</t>
  </si>
  <si>
    <t>Bagong Mandaue</t>
  </si>
  <si>
    <t>Bagong Maslog</t>
  </si>
  <si>
    <t>Bagong Oslob</t>
  </si>
  <si>
    <t>Bagong Pitogo</t>
  </si>
  <si>
    <t>Baki</t>
  </si>
  <si>
    <t>Balas</t>
  </si>
  <si>
    <t>Balide</t>
  </si>
  <si>
    <t>Balintawak</t>
  </si>
  <si>
    <t>Bayabas</t>
  </si>
  <si>
    <t>Bemposa</t>
  </si>
  <si>
    <t>Cabilinan</t>
  </si>
  <si>
    <t>Campo Uno</t>
  </si>
  <si>
    <t>Ceboneg</t>
  </si>
  <si>
    <t>Commonwealth</t>
  </si>
  <si>
    <t>Gubaan</t>
  </si>
  <si>
    <t>Inasagan</t>
  </si>
  <si>
    <t>Inroad</t>
  </si>
  <si>
    <t>Kahayagan West</t>
  </si>
  <si>
    <t>Kauswagan</t>
  </si>
  <si>
    <t>La Victoria</t>
  </si>
  <si>
    <t>Lantungan</t>
  </si>
  <si>
    <t>Libertad</t>
  </si>
  <si>
    <t>Lintugop</t>
  </si>
  <si>
    <t>Lubid</t>
  </si>
  <si>
    <t>Maguikay</t>
  </si>
  <si>
    <t>Mahayahay</t>
  </si>
  <si>
    <t>Monte Alegre</t>
  </si>
  <si>
    <t>Montela</t>
  </si>
  <si>
    <t>Napo</t>
  </si>
  <si>
    <t>Panaghiusa</t>
  </si>
  <si>
    <t>Poblacion</t>
  </si>
  <si>
    <t>Resthouse</t>
  </si>
  <si>
    <t>Romarate</t>
  </si>
  <si>
    <t>San Jose</t>
  </si>
  <si>
    <t>San Juan</t>
  </si>
  <si>
    <t>Sapa Loboc</t>
  </si>
  <si>
    <t>Tagulalo</t>
  </si>
  <si>
    <t>Waterfall</t>
  </si>
  <si>
    <t>Kahayagan East</t>
  </si>
  <si>
    <t>✔️</t>
  </si>
  <si>
    <t>❌</t>
  </si>
  <si>
    <t>Alang-Alang</t>
  </si>
  <si>
    <t>La Paz</t>
  </si>
  <si>
    <t>SUB-TOTAL</t>
  </si>
  <si>
    <t>Baking</t>
  </si>
  <si>
    <t>Balukbahan</t>
  </si>
  <si>
    <t>Balumbunan</t>
  </si>
  <si>
    <t>Bantal</t>
  </si>
  <si>
    <t>Bobuan</t>
  </si>
  <si>
    <t>Camp Blessing</t>
  </si>
  <si>
    <t>Canoayan</t>
  </si>
  <si>
    <t>Conacon</t>
  </si>
  <si>
    <t>Dagum</t>
  </si>
  <si>
    <t>Damit</t>
  </si>
  <si>
    <t>Datagan</t>
  </si>
  <si>
    <t>Depase</t>
  </si>
  <si>
    <t>Dipili</t>
  </si>
  <si>
    <t>Depore</t>
  </si>
  <si>
    <t>Deporehan</t>
  </si>
  <si>
    <t>Dimalinao</t>
  </si>
  <si>
    <t>Kahayagan</t>
  </si>
  <si>
    <t>Kanipaan</t>
  </si>
  <si>
    <t>Lamare</t>
  </si>
  <si>
    <t>Liba</t>
  </si>
  <si>
    <t>Matin-ao</t>
  </si>
  <si>
    <t>Matun-og</t>
  </si>
  <si>
    <t>Pulang Bato</t>
  </si>
  <si>
    <t>Salawagan</t>
  </si>
  <si>
    <t>Sigacad</t>
  </si>
  <si>
    <t>Supon</t>
  </si>
  <si>
    <t>BAYOG</t>
  </si>
  <si>
    <t>San Isidro</t>
  </si>
  <si>
    <t>Bacayawan</t>
  </si>
  <si>
    <t>Baha</t>
  </si>
  <si>
    <t>Balanagan</t>
  </si>
  <si>
    <t>Baluno</t>
  </si>
  <si>
    <t>Binuay</t>
  </si>
  <si>
    <t>Buburay</t>
  </si>
  <si>
    <t>Grap</t>
  </si>
  <si>
    <t>Josefina</t>
  </si>
  <si>
    <t>Kagawasan</t>
  </si>
  <si>
    <t>Lalab</t>
  </si>
  <si>
    <t>Magahis</t>
  </si>
  <si>
    <t>Mahayag</t>
  </si>
  <si>
    <t>Mercedes</t>
  </si>
  <si>
    <t>Saloagan</t>
  </si>
  <si>
    <t>San Roque</t>
  </si>
  <si>
    <t>Sugbay Uno</t>
  </si>
  <si>
    <t>Sumbato</t>
  </si>
  <si>
    <t>Sumpot</t>
  </si>
  <si>
    <t>Tinggabulong</t>
  </si>
  <si>
    <t>Tiniguangan</t>
  </si>
  <si>
    <t>Tipangi</t>
  </si>
  <si>
    <t>Upper Ludiong</t>
  </si>
  <si>
    <t>DIMATALING</t>
  </si>
  <si>
    <t>SHS</t>
  </si>
  <si>
    <t>Bacawan</t>
  </si>
  <si>
    <t>Benuatan</t>
  </si>
  <si>
    <t>Beray</t>
  </si>
  <si>
    <t>Don Jose</t>
  </si>
  <si>
    <t>Dongos</t>
  </si>
  <si>
    <t>East Migpulao</t>
  </si>
  <si>
    <t>Guinicolalay</t>
  </si>
  <si>
    <t>Kinakap</t>
  </si>
  <si>
    <t>Legarda 1</t>
  </si>
  <si>
    <t>Legarda 2</t>
  </si>
  <si>
    <t>Legarda 3</t>
  </si>
  <si>
    <t>Lower Dimaya</t>
  </si>
  <si>
    <t>Locuban</t>
  </si>
  <si>
    <t>Ludiong</t>
  </si>
  <si>
    <t>Nangka</t>
  </si>
  <si>
    <t>Nian</t>
  </si>
  <si>
    <t>Old Mirapao</t>
  </si>
  <si>
    <t>Pisa-an</t>
  </si>
  <si>
    <t>Proper Dimaya</t>
  </si>
  <si>
    <t>Sagacad</t>
  </si>
  <si>
    <t>Sambulawan</t>
  </si>
  <si>
    <t>Sumpotan</t>
  </si>
  <si>
    <t>Tarakan</t>
  </si>
  <si>
    <t>Upper Dimaya</t>
  </si>
  <si>
    <t>Upper Sibul</t>
  </si>
  <si>
    <t>West Migpulao</t>
  </si>
  <si>
    <t>Ignacio Garrata</t>
  </si>
  <si>
    <t>DINAS</t>
  </si>
  <si>
    <t>COORDINATES</t>
  </si>
  <si>
    <t>7.9191, 123.6365</t>
  </si>
  <si>
    <t>YES</t>
  </si>
  <si>
    <t>Bag-ong Misamis</t>
  </si>
  <si>
    <t>Bag-ong Silao</t>
  </si>
  <si>
    <t>Baga</t>
  </si>
  <si>
    <t>Baloboan</t>
  </si>
  <si>
    <t>Banta-ao</t>
  </si>
  <si>
    <t>Bibilik</t>
  </si>
  <si>
    <t>Calingayan</t>
  </si>
  <si>
    <t>Camalig</t>
  </si>
  <si>
    <t>Camanga</t>
  </si>
  <si>
    <t>Cuatro-cuatro</t>
  </si>
  <si>
    <t>Malasik</t>
  </si>
  <si>
    <t>Mama (San Juan)</t>
  </si>
  <si>
    <t>Matab-ang</t>
  </si>
  <si>
    <t>Mecolong</t>
  </si>
  <si>
    <t>Metokong</t>
  </si>
  <si>
    <t>Motosawa</t>
  </si>
  <si>
    <t>Pantad</t>
  </si>
  <si>
    <t>Piniglibano</t>
  </si>
  <si>
    <t>Rebokon</t>
  </si>
  <si>
    <t>San Agustin</t>
  </si>
  <si>
    <t>Sebucao</t>
  </si>
  <si>
    <t>Sumadat</t>
  </si>
  <si>
    <t>Tikwas</t>
  </si>
  <si>
    <t>Tina</t>
  </si>
  <si>
    <t>Tubo-Pait</t>
  </si>
  <si>
    <t>Upper Dumalinao</t>
  </si>
  <si>
    <t>Pag-asa (Pob.)</t>
  </si>
  <si>
    <t>Paglaum (Pob.)</t>
  </si>
  <si>
    <t>DUMALINAO</t>
  </si>
  <si>
    <t>ETC</t>
  </si>
  <si>
    <t>Bogo Capalaran</t>
  </si>
  <si>
    <t>Bag-ong Valencia</t>
  </si>
  <si>
    <t>Bag-ong Kauswagan</t>
  </si>
  <si>
    <t>Bag-ong Silangan</t>
  </si>
  <si>
    <t>Bucayan</t>
  </si>
  <si>
    <t>Calumanggi</t>
  </si>
  <si>
    <t>Canibongan</t>
  </si>
  <si>
    <t>Caridad</t>
  </si>
  <si>
    <t>Danlugan</t>
  </si>
  <si>
    <t>Dapiwak</t>
  </si>
  <si>
    <t>Datu Totocan</t>
  </si>
  <si>
    <t>Dilud</t>
  </si>
  <si>
    <t>Ditulan</t>
  </si>
  <si>
    <t>Dulian</t>
  </si>
  <si>
    <t>Dulop</t>
  </si>
  <si>
    <t>Guintananan</t>
  </si>
  <si>
    <t>Guitran</t>
  </si>
  <si>
    <t>Gumpingan</t>
  </si>
  <si>
    <t>La Fortuna</t>
  </si>
  <si>
    <t>Labangon</t>
  </si>
  <si>
    <t>Licabang</t>
  </si>
  <si>
    <t>Lipawan</t>
  </si>
  <si>
    <t>Lower Landing</t>
  </si>
  <si>
    <t>Lower Timonan</t>
  </si>
  <si>
    <t>Macasing</t>
  </si>
  <si>
    <t>Manlabay</t>
  </si>
  <si>
    <t>Malagalad</t>
  </si>
  <si>
    <t>Maralag</t>
  </si>
  <si>
    <t>Marangan</t>
  </si>
  <si>
    <t>New Basak</t>
  </si>
  <si>
    <t>Saad</t>
  </si>
  <si>
    <t>Salvador</t>
  </si>
  <si>
    <t>San Vicente</t>
  </si>
  <si>
    <t>Senote</t>
  </si>
  <si>
    <t>Sinonok</t>
  </si>
  <si>
    <t>Sunop</t>
  </si>
  <si>
    <t>Tagun</t>
  </si>
  <si>
    <t>Tamurayan</t>
  </si>
  <si>
    <t>Upper Landing</t>
  </si>
  <si>
    <t>Upper Timonan</t>
  </si>
  <si>
    <t>DUMINGAG</t>
  </si>
  <si>
    <t>San Pablo (Pob.)</t>
  </si>
  <si>
    <t>San Pedro (Pob.)</t>
  </si>
  <si>
    <t>8.1331, 123.2820</t>
  </si>
  <si>
    <t>8.1365, 123.3139</t>
  </si>
  <si>
    <t>8.0977, 123.2895</t>
  </si>
  <si>
    <t>8.1686, 123.2301</t>
  </si>
  <si>
    <t>8.1990, 123.2875</t>
  </si>
  <si>
    <t>8.1261, 123.2239</t>
  </si>
  <si>
    <t>8.1857, 123.3335</t>
  </si>
  <si>
    <t>8.1458, 123.2174</t>
  </si>
  <si>
    <t>8.1503, 123.3601</t>
  </si>
  <si>
    <t>8.1256, 123.2968</t>
  </si>
  <si>
    <t>8.1803, 123.2857</t>
  </si>
  <si>
    <t>8.1161, 123.2290</t>
  </si>
  <si>
    <t>8.2137, 123.2318</t>
  </si>
  <si>
    <t>8.1113, 123.24610</t>
  </si>
  <si>
    <t>8.1799, 123.2601</t>
  </si>
  <si>
    <t>8.1599, 123.3670</t>
  </si>
  <si>
    <t>8.1018, 123.2622</t>
  </si>
  <si>
    <t>8.1488, 123.2897</t>
  </si>
  <si>
    <t xml:space="preserve">8.1262, 123.1863 </t>
  </si>
  <si>
    <t>8.1402, 123.3544</t>
  </si>
  <si>
    <t>8.1986, 123.2535</t>
  </si>
  <si>
    <t>8.1718, 123.3453</t>
  </si>
  <si>
    <t>8.1535, 123.3313</t>
  </si>
  <si>
    <t>8.1155, 123.3610</t>
  </si>
  <si>
    <t>8.1361, 123.2419</t>
  </si>
  <si>
    <t>8.1528, 123.2394</t>
  </si>
  <si>
    <t>8.1270, 123.3257</t>
  </si>
  <si>
    <t>8.1403, 123.3696</t>
  </si>
  <si>
    <t>8.1028, 123.3395</t>
  </si>
  <si>
    <t>8.1357, 123.3352</t>
  </si>
  <si>
    <t>8.2297, 123.3175</t>
  </si>
  <si>
    <t>8.2340, 123.2462</t>
  </si>
  <si>
    <t>8.0887, 123.2977</t>
  </si>
  <si>
    <t>8.1544, 123.3454</t>
  </si>
  <si>
    <t>8.1573, 123.3427</t>
  </si>
  <si>
    <t>8.1059, 123.2937</t>
  </si>
  <si>
    <t>8.1201, 123.2670</t>
  </si>
  <si>
    <t>8.2197, 123.3000</t>
  </si>
  <si>
    <t>8.2063, 123.3704</t>
  </si>
  <si>
    <t>8.1448, 123.2629</t>
  </si>
  <si>
    <t>8.1378, 123.2649</t>
  </si>
  <si>
    <t>8.1637, 123.3340</t>
  </si>
  <si>
    <t>8.1228, 123.3455</t>
  </si>
  <si>
    <t>Canipay BS</t>
  </si>
  <si>
    <t>Canipay Norte BS</t>
  </si>
  <si>
    <t>Bag. Valencia BS</t>
  </si>
  <si>
    <t>8.0514, 123.2997</t>
  </si>
  <si>
    <t>Cumarom BS</t>
  </si>
  <si>
    <t>8.0133, 123.3130</t>
  </si>
  <si>
    <t>Dipalutao BS</t>
  </si>
  <si>
    <t>7.95464,123.4607</t>
  </si>
  <si>
    <t>Dipalutao BS (PB)</t>
  </si>
  <si>
    <t>8.1042, 123.4882</t>
  </si>
  <si>
    <t>8.1621, 123.31540</t>
  </si>
  <si>
    <t xml:space="preserve">Bambong Daku </t>
  </si>
  <si>
    <t>8.0328, 123.466</t>
  </si>
  <si>
    <t>7.9365, 123.5768</t>
  </si>
  <si>
    <t>7.9443, 123.5537</t>
  </si>
  <si>
    <t>7.9407, 123.6245</t>
  </si>
  <si>
    <t>7.9615, 123.5214</t>
  </si>
  <si>
    <t>7.9315, 123.5819</t>
  </si>
  <si>
    <t>7.8863, 123.6434</t>
  </si>
  <si>
    <t>7.9571, 123.53150</t>
  </si>
  <si>
    <t>7.9298, 123.5752</t>
  </si>
  <si>
    <t>7.9776, 123.6345</t>
  </si>
  <si>
    <t>7.9351, 123.5983</t>
  </si>
  <si>
    <t>7.9572, 123.4962</t>
  </si>
  <si>
    <t>7.9403, 123.6068</t>
  </si>
  <si>
    <t>7.9348, 123.5527</t>
  </si>
  <si>
    <t>7.9306, 123.5886</t>
  </si>
  <si>
    <t>7.9839, 123.5507</t>
  </si>
  <si>
    <t>7.8902, 123.6579</t>
  </si>
  <si>
    <t xml:space="preserve">7.9754, 123.5339 </t>
  </si>
  <si>
    <t>7.9793, 123.5819</t>
  </si>
  <si>
    <t>7.9749, 123.5595</t>
  </si>
  <si>
    <t>7.9103, 123.6454</t>
  </si>
  <si>
    <t>7.9814, 123.5190</t>
  </si>
  <si>
    <t>7.9844, 123.5110</t>
  </si>
  <si>
    <t>8.0057, 123.5302</t>
  </si>
  <si>
    <t>7.9564, 123.5962</t>
  </si>
  <si>
    <t>7.9695, 123.5488</t>
  </si>
  <si>
    <t>7.8986, 123.6308</t>
  </si>
  <si>
    <t>7.9645, 123.5619</t>
  </si>
  <si>
    <t>7.9519, 123.6179</t>
  </si>
  <si>
    <t>7.9080, 123.6127</t>
  </si>
  <si>
    <t>7.9527, 123.5534</t>
  </si>
  <si>
    <t>7.9671, 123.5845</t>
  </si>
  <si>
    <t>7.9889, 123.4986</t>
  </si>
  <si>
    <t>7.9726, 123.4914</t>
  </si>
  <si>
    <t>7.9174, 123.6496</t>
  </si>
  <si>
    <t>7.9621, 123.5315</t>
  </si>
  <si>
    <t>7.9486, 123.5842</t>
  </si>
  <si>
    <t>7.9019, 123.6516</t>
  </si>
  <si>
    <t>7.9515, 123.5976</t>
  </si>
  <si>
    <t>7.9556, 123.5828</t>
  </si>
  <si>
    <t>7.9504, 123.5422</t>
  </si>
  <si>
    <t>7.9938, 123.5418</t>
  </si>
  <si>
    <t>7.9727, 123.5938</t>
  </si>
  <si>
    <t>7.9391, 123.5661</t>
  </si>
  <si>
    <t>San Jose BS</t>
  </si>
  <si>
    <t xml:space="preserve">8.0309, 123.5401 </t>
  </si>
  <si>
    <t>Kapalaran BS</t>
  </si>
  <si>
    <t>Dipalutao BS (RP)</t>
  </si>
  <si>
    <t>7.5377, 123.2455</t>
  </si>
  <si>
    <t>7.5121, 123.2962</t>
  </si>
  <si>
    <t>Balong-Balong BS</t>
  </si>
  <si>
    <t>7.5321, 123.3765</t>
  </si>
  <si>
    <t>7.5833, 123.2814</t>
  </si>
  <si>
    <t>7.4833, 123.3528</t>
  </si>
  <si>
    <t>7.5705, 123.2816</t>
  </si>
  <si>
    <t>7.5802, 123.2611</t>
  </si>
  <si>
    <t>7.4973, 123.3656</t>
  </si>
  <si>
    <t>7.5583, 123.2480</t>
  </si>
  <si>
    <t>7.5000, 123.3434</t>
  </si>
  <si>
    <t>7.5548, 123.2794</t>
  </si>
  <si>
    <t>7.5471, 123.3020</t>
  </si>
  <si>
    <t>7.5905, 123.2622</t>
  </si>
  <si>
    <t>7.5523, 123.3256</t>
  </si>
  <si>
    <t>7.5698, 123.3005</t>
  </si>
  <si>
    <t>7.5292, 123.3662</t>
  </si>
  <si>
    <t>7.5367, 123.2616</t>
  </si>
  <si>
    <t>7.5505, 123.2729</t>
  </si>
  <si>
    <t>7.5081, 123.3267</t>
  </si>
  <si>
    <t>7.5312, 123.3113</t>
  </si>
  <si>
    <t>7.4819, 123.3830</t>
  </si>
  <si>
    <t>7.4651, 123.3618</t>
  </si>
  <si>
    <t>7.5323, 123.3315</t>
  </si>
  <si>
    <t>7.5330, 123.2923</t>
  </si>
  <si>
    <t>7.5487, 123.3080</t>
  </si>
  <si>
    <t>7.6362, 123.3236</t>
  </si>
  <si>
    <t>Dupongan BS</t>
  </si>
  <si>
    <t>Kapamanok BS</t>
  </si>
  <si>
    <t>7.6774, 123.4169</t>
  </si>
  <si>
    <t>Kagawasan BS</t>
  </si>
  <si>
    <t>7.4225, 123.3849</t>
  </si>
  <si>
    <t>Capisan BS</t>
  </si>
  <si>
    <t>Libertad BS</t>
  </si>
  <si>
    <t>Josefina BS</t>
  </si>
  <si>
    <t>7.6077, 123.3100</t>
  </si>
  <si>
    <t>7.6130, 123.3424</t>
  </si>
  <si>
    <t>7.6369, 123.2830</t>
  </si>
  <si>
    <t>7.6657, 123.3585</t>
  </si>
  <si>
    <t>7.6290, 123.3551</t>
  </si>
  <si>
    <t>7.6446, 123.3787</t>
  </si>
  <si>
    <t>7.6604, 123.3190</t>
  </si>
  <si>
    <t>7.6172, 123.2880</t>
  </si>
  <si>
    <t>7.6325, 123.3038</t>
  </si>
  <si>
    <t>7.6444, 123.2987</t>
  </si>
  <si>
    <t>7.6517, 123.3079</t>
  </si>
  <si>
    <t>7.5624, 123.3355</t>
  </si>
  <si>
    <t>7.5615, 123.3100</t>
  </si>
  <si>
    <t>7.6199, 123.3203</t>
  </si>
  <si>
    <t>7.6368, 123.3968</t>
  </si>
  <si>
    <t>7.6530, 123.3459</t>
  </si>
  <si>
    <t>7.6115, 123.32419</t>
  </si>
  <si>
    <t>7.6177, 123.33710</t>
  </si>
  <si>
    <t>7.5740, 123.3752</t>
  </si>
  <si>
    <t>7.6145, 123.3388</t>
  </si>
  <si>
    <t>7.5926, 123.3291</t>
  </si>
  <si>
    <t>7.6917, 123.3378</t>
  </si>
  <si>
    <t>7.5728, 123.3381</t>
  </si>
  <si>
    <t>7.5760, 123.2982</t>
  </si>
  <si>
    <t>7.5807, 123.3523</t>
  </si>
  <si>
    <t>Songayan</t>
  </si>
  <si>
    <t>7.5955, 123.3008</t>
  </si>
  <si>
    <t>7.6196, 123.4160</t>
  </si>
  <si>
    <t>7.6169, 123.3050</t>
  </si>
  <si>
    <t>7.6080, 123.2755</t>
  </si>
  <si>
    <t>7.6364, 123.3399</t>
  </si>
  <si>
    <t>7.8192, 123.3840</t>
  </si>
  <si>
    <t>7.7277, 123.4666</t>
  </si>
  <si>
    <t>7.7699, 123.3935</t>
  </si>
  <si>
    <t>7.7241, 123.45120</t>
  </si>
  <si>
    <t>7.7635, 123.3599</t>
  </si>
  <si>
    <t>7.8063, 123.3382</t>
  </si>
  <si>
    <t>7.7416, 123.4700</t>
  </si>
  <si>
    <t>7.7698, 123.3824</t>
  </si>
  <si>
    <t>7.8224, 123.3380</t>
  </si>
  <si>
    <t>7.8150, 123.3577</t>
  </si>
  <si>
    <t>7.7447, 123.3838</t>
  </si>
  <si>
    <t>7.8287, 123.3811</t>
  </si>
  <si>
    <t>7.7837, 123.3373</t>
  </si>
  <si>
    <t>7.7436, 123.4544</t>
  </si>
  <si>
    <t>7.7848, 123.4127</t>
  </si>
  <si>
    <t>7.7922, 123.3847</t>
  </si>
  <si>
    <t>7.7444, 123.4441</t>
  </si>
  <si>
    <t>7.8286, 123.3299</t>
  </si>
  <si>
    <t>7.8180, 123.3619</t>
  </si>
  <si>
    <t>7.8145, 123.3635</t>
  </si>
  <si>
    <t>7.7762, 123.4207</t>
  </si>
  <si>
    <t>7.8277, 123.3536</t>
  </si>
  <si>
    <t>7.7566, 123.4175</t>
  </si>
  <si>
    <t>7.7688, 123.4152</t>
  </si>
  <si>
    <t>7.7967, 123.3559</t>
  </si>
  <si>
    <t>7.8185, 123.3714</t>
  </si>
  <si>
    <t>7.7827, 123.3546</t>
  </si>
  <si>
    <t>7.7795, 123.3684</t>
  </si>
  <si>
    <t>7.7126, 123.4192</t>
  </si>
  <si>
    <t>7.7999, 123.3703</t>
  </si>
  <si>
    <t>7.8399,123.382</t>
  </si>
  <si>
    <t>Palpalan BS</t>
  </si>
  <si>
    <t>7.8282,123.4307</t>
  </si>
  <si>
    <t>Capitol BS</t>
  </si>
  <si>
    <t>7.79187,123.4217</t>
  </si>
  <si>
    <t>Poloyagan BS</t>
  </si>
  <si>
    <t>Bagong Oroquieta</t>
  </si>
  <si>
    <t>Baguitan</t>
  </si>
  <si>
    <t>Balongating</t>
  </si>
  <si>
    <t>Canunan</t>
  </si>
  <si>
    <t>Dacsol</t>
  </si>
  <si>
    <t>Dagohoy</t>
  </si>
  <si>
    <t>Dalapang</t>
  </si>
  <si>
    <t>Guling</t>
  </si>
  <si>
    <t>Katipunan</t>
  </si>
  <si>
    <t>Lintum</t>
  </si>
  <si>
    <t>Litan</t>
  </si>
  <si>
    <t>Magting</t>
  </si>
  <si>
    <t>Regla</t>
  </si>
  <si>
    <t>Sikatuna</t>
  </si>
  <si>
    <t>Singclot</t>
  </si>
  <si>
    <t>GUIPOS</t>
  </si>
  <si>
    <t>7.7187, 123.2988</t>
  </si>
  <si>
    <t xml:space="preserve">7.7707, 123.3274 </t>
  </si>
  <si>
    <t>7.7573, 123.3398</t>
  </si>
  <si>
    <t>7.7624, 123.3431</t>
  </si>
  <si>
    <t>7.7672, 123.3092</t>
  </si>
  <si>
    <t>7.7439, 123.3157</t>
  </si>
  <si>
    <t>7.7282, 123.2858</t>
  </si>
  <si>
    <t xml:space="preserve">7.7709, 123.2835 </t>
  </si>
  <si>
    <t>7.7404, 123.3590</t>
  </si>
  <si>
    <t>7.7226, 123.3097</t>
  </si>
  <si>
    <t>7.7137, 123.3449</t>
  </si>
  <si>
    <t>7.7054, 123.3626</t>
  </si>
  <si>
    <t>7.7577, 123.2990</t>
  </si>
  <si>
    <t>7.7316, 123.3209</t>
  </si>
  <si>
    <t>7.7203, 123.3638</t>
  </si>
  <si>
    <t>7.7559, 123.3127</t>
  </si>
  <si>
    <t>7.7165, 123.3234</t>
  </si>
  <si>
    <t>REL</t>
  </si>
  <si>
    <t>7.7363,123.3176</t>
  </si>
  <si>
    <t>Guipos 53RD BS</t>
  </si>
  <si>
    <t>Bogo Calabat</t>
  </si>
  <si>
    <t>Dawa (Diwa)</t>
  </si>
  <si>
    <t>Ebarle</t>
  </si>
  <si>
    <t>Gumahan (Pob)</t>
  </si>
  <si>
    <t>Leonardo</t>
  </si>
  <si>
    <t>Litapan</t>
  </si>
  <si>
    <t>Lower Bagong Tudela</t>
  </si>
  <si>
    <t>Mansanas</t>
  </si>
  <si>
    <t>Moradji</t>
  </si>
  <si>
    <t>Nemeño</t>
  </si>
  <si>
    <t>Nopulan</t>
  </si>
  <si>
    <t>Sebukang</t>
  </si>
  <si>
    <t>Tagaytay Hill</t>
  </si>
  <si>
    <t>U Bagong Tudela (Pob)</t>
  </si>
  <si>
    <t>JOSEFINA</t>
  </si>
  <si>
    <t>8.1690, 123.5434</t>
  </si>
  <si>
    <t>8.2626, 123.5516</t>
  </si>
  <si>
    <t>8.2534, 123.5251</t>
  </si>
  <si>
    <t>8.2156, 123.5454</t>
  </si>
  <si>
    <t>8.2087, 123.5401</t>
  </si>
  <si>
    <t>8.2430, 123.5209</t>
  </si>
  <si>
    <t>8.1895, 123.5248</t>
  </si>
  <si>
    <t>8.2258, 123.5335</t>
  </si>
  <si>
    <t>8.2465, 123.5462</t>
  </si>
  <si>
    <t>8.2302, 123.5487</t>
  </si>
  <si>
    <t>8.1755, 123.5268</t>
  </si>
  <si>
    <t>8.1915, 123.5462</t>
  </si>
  <si>
    <t>8.2493, 123.5469</t>
  </si>
  <si>
    <t>8.2148, 123.5408</t>
  </si>
  <si>
    <t>Gumahan BS</t>
  </si>
  <si>
    <t>Bogayo</t>
  </si>
  <si>
    <t>Bolisong</t>
  </si>
  <si>
    <t>Boyugan East</t>
  </si>
  <si>
    <t>Boyugan West</t>
  </si>
  <si>
    <t>Bualan</t>
  </si>
  <si>
    <t>Diplo</t>
  </si>
  <si>
    <t>Gawil</t>
  </si>
  <si>
    <t>Gusom</t>
  </si>
  <si>
    <t>Kitaan Dagat</t>
  </si>
  <si>
    <t>Lantawan</t>
  </si>
  <si>
    <t>Pangi</t>
  </si>
  <si>
    <t>Picanan</t>
  </si>
  <si>
    <t>Salagmanok</t>
  </si>
  <si>
    <t>Secade</t>
  </si>
  <si>
    <t>Suminalum</t>
  </si>
  <si>
    <t>KUMALARANG</t>
  </si>
  <si>
    <t>7.7827, 123.1771</t>
  </si>
  <si>
    <t>7.7771, 123.2124</t>
  </si>
  <si>
    <t>7.7459, 123.1681</t>
  </si>
  <si>
    <t>7.7407, 123.0991</t>
  </si>
  <si>
    <t>7.7133, 123.1391</t>
  </si>
  <si>
    <t>7.7812, 123.1169</t>
  </si>
  <si>
    <t>7.7613, 123.1839</t>
  </si>
  <si>
    <t>7.6999, 123.0881</t>
  </si>
  <si>
    <t>7.8018, 123.1439</t>
  </si>
  <si>
    <t>7.7694, 123.1316</t>
  </si>
  <si>
    <t>7.7981, 123.1699</t>
  </si>
  <si>
    <t>7.7996, 123.1192</t>
  </si>
  <si>
    <t>7.8130, 123.1000</t>
  </si>
  <si>
    <t>7.7468, 123.1447</t>
  </si>
  <si>
    <t>7.8296, 123.0989</t>
  </si>
  <si>
    <t>7.7706, 123.1582</t>
  </si>
  <si>
    <t>7.8342, 123.1287</t>
  </si>
  <si>
    <t>Limamawan</t>
  </si>
  <si>
    <t>Lakewood BS</t>
  </si>
  <si>
    <t>Lebayoy BS</t>
  </si>
  <si>
    <t>Picanan BS</t>
  </si>
  <si>
    <t>Limamawan BS</t>
  </si>
  <si>
    <t>Kalian BS</t>
  </si>
  <si>
    <t>7.8554,123.1506</t>
  </si>
  <si>
    <t>7.8341,123.2243</t>
  </si>
  <si>
    <t>7.5473,123.1875</t>
  </si>
  <si>
    <t>7.7490,123.1157</t>
  </si>
  <si>
    <t>Bagalupa</t>
  </si>
  <si>
    <t>Balimbingan</t>
  </si>
  <si>
    <t>Binayan</t>
  </si>
  <si>
    <t>Bokong</t>
  </si>
  <si>
    <t>Bulanit</t>
  </si>
  <si>
    <t>Cogonan</t>
  </si>
  <si>
    <t>Combo</t>
  </si>
  <si>
    <t>Dimasangca</t>
  </si>
  <si>
    <t>Dipaya</t>
  </si>
  <si>
    <t>Langapod</t>
  </si>
  <si>
    <t>Lantian</t>
  </si>
  <si>
    <t>Lower Campo (Pob)</t>
  </si>
  <si>
    <t>Lower Pulacan</t>
  </si>
  <si>
    <t>Lower Sang-an</t>
  </si>
  <si>
    <t>New Labangan</t>
  </si>
  <si>
    <t>Noboran</t>
  </si>
  <si>
    <t>Old Labangan</t>
  </si>
  <si>
    <t>Santa Cruz</t>
  </si>
  <si>
    <t>Tapodoc</t>
  </si>
  <si>
    <t>Tawagan Norte</t>
  </si>
  <si>
    <t>Upper Campo (Pob)</t>
  </si>
  <si>
    <t>Upper Pulacan</t>
  </si>
  <si>
    <t>Upper Sang-an</t>
  </si>
  <si>
    <t>LABANGAN</t>
  </si>
  <si>
    <t>7.9147, 123.3752</t>
  </si>
  <si>
    <t>7.8780, 123.5306</t>
  </si>
  <si>
    <t>7.9253, 123.4017</t>
  </si>
  <si>
    <t>7.9095, 123.4613</t>
  </si>
  <si>
    <t>7.8442, 123.4833</t>
  </si>
  <si>
    <t>7.9437, 123.3153</t>
  </si>
  <si>
    <t>7.8427, 123.5282</t>
  </si>
  <si>
    <t>7.8596, 123.4912</t>
  </si>
  <si>
    <t>7.8533, 123.5427</t>
  </si>
  <si>
    <t>7.9221, 123.4361</t>
  </si>
  <si>
    <t>7.9138, 123.3569</t>
  </si>
  <si>
    <t>7.8866, 123.4944</t>
  </si>
  <si>
    <t>7.8632, 123.5156</t>
  </si>
  <si>
    <t>7.8950, 123.4902</t>
  </si>
  <si>
    <t>7.8363, 123.5000</t>
  </si>
  <si>
    <t>7.8624, 123.4974</t>
  </si>
  <si>
    <t>7.8391, 123.5147</t>
  </si>
  <si>
    <t>7.8928, 123.5109</t>
  </si>
  <si>
    <t>7.8983, 123.4597</t>
  </si>
  <si>
    <t>7.8567, 123.5035</t>
  </si>
  <si>
    <t>7.8725, 123.4799</t>
  </si>
  <si>
    <t>7.8642, 123.5124</t>
  </si>
  <si>
    <t>7.9056, 123.4892</t>
  </si>
  <si>
    <t>7.8479, 123.4952</t>
  </si>
  <si>
    <t>7.8646, 123.5158</t>
  </si>
  <si>
    <t>Labangan BS</t>
  </si>
  <si>
    <t>7.8432,123.4302</t>
  </si>
  <si>
    <t>Deborok BS</t>
  </si>
  <si>
    <t>7.8399, 123.3821</t>
  </si>
  <si>
    <t>7.95464,123.460</t>
  </si>
  <si>
    <t>Dao Complex</t>
  </si>
  <si>
    <t>Bagong Kahayag</t>
  </si>
  <si>
    <t>Biswangan</t>
  </si>
  <si>
    <t>Bululawan</t>
  </si>
  <si>
    <t>Gasa</t>
  </si>
  <si>
    <t>Gatub</t>
  </si>
  <si>
    <t>Lukuan</t>
  </si>
  <si>
    <t>Matalang</t>
  </si>
  <si>
    <t>Sapang Pinoles</t>
  </si>
  <si>
    <t>Sebuguey</t>
  </si>
  <si>
    <t>Tiwales</t>
  </si>
  <si>
    <t>Tubod</t>
  </si>
  <si>
    <t>LAKEWOOD</t>
  </si>
  <si>
    <t>7.8449, 123.1026</t>
  </si>
  <si>
    <t>7.8744, 123.1538</t>
  </si>
  <si>
    <t>7.8522, 123.1912</t>
  </si>
  <si>
    <t>7.8678, 123.1046</t>
  </si>
  <si>
    <t>7.9184, 123.1424</t>
  </si>
  <si>
    <t>7.9146, 123.1839</t>
  </si>
  <si>
    <t>7.7942, 123.1959</t>
  </si>
  <si>
    <t>7.8384, 123.2046</t>
  </si>
  <si>
    <t>7.9786, 123.1408</t>
  </si>
  <si>
    <t>7.8509, 123.1557</t>
  </si>
  <si>
    <t>7.8807, 123.1260</t>
  </si>
  <si>
    <t>7.8872, 123.1085</t>
  </si>
  <si>
    <t>7.9636, 123.1746</t>
  </si>
  <si>
    <t>7.8042, 123.2043</t>
  </si>
  <si>
    <t>7.9365,123.0766</t>
  </si>
  <si>
    <t>Conacon BS</t>
  </si>
  <si>
    <t>7.8341,123.2244</t>
  </si>
  <si>
    <t>Bulawan</t>
  </si>
  <si>
    <t>Danganan</t>
  </si>
  <si>
    <t>Dansal</t>
  </si>
  <si>
    <t>Dumara</t>
  </si>
  <si>
    <t>Luanan</t>
  </si>
  <si>
    <t>Lubusan</t>
  </si>
  <si>
    <t>Mahalingeb</t>
  </si>
  <si>
    <t>Mandeg</t>
  </si>
  <si>
    <t>Maruing</t>
  </si>
  <si>
    <t>Molum</t>
  </si>
  <si>
    <t>Pampang</t>
  </si>
  <si>
    <t>Pingalay</t>
  </si>
  <si>
    <t>Salambuyan</t>
  </si>
  <si>
    <t>Sayog</t>
  </si>
  <si>
    <t>Tabon</t>
  </si>
  <si>
    <t>Tiguha</t>
  </si>
  <si>
    <t>Tininghalang</t>
  </si>
  <si>
    <t>Tipasan</t>
  </si>
  <si>
    <t>Tugaya</t>
  </si>
  <si>
    <t>LAPUYAN</t>
  </si>
  <si>
    <t>Carpoc</t>
  </si>
  <si>
    <t>Linok Madalum</t>
  </si>
  <si>
    <t>Talabab</t>
  </si>
  <si>
    <t>7.6237, 123.2492</t>
  </si>
  <si>
    <t>7.6791, 123.2030</t>
  </si>
  <si>
    <t>7.6469, 123.1537</t>
  </si>
  <si>
    <t>7.6453, 123.2216</t>
  </si>
  <si>
    <t>7.7327, 123.1634</t>
  </si>
  <si>
    <t>7.6568, 123.1457</t>
  </si>
  <si>
    <t>7.7214, 123.1523</t>
  </si>
  <si>
    <t>7.6713, 123.2213</t>
  </si>
  <si>
    <t>7.6836, 123.1863</t>
  </si>
  <si>
    <t>7.7062, 123.1567</t>
  </si>
  <si>
    <t>7.7075, 123.2455</t>
  </si>
  <si>
    <t>7.6746, 123.1534</t>
  </si>
  <si>
    <t>7.6076, 123.2469</t>
  </si>
  <si>
    <t>7.6458, 123.1665</t>
  </si>
  <si>
    <t>7.6598, 123.1669</t>
  </si>
  <si>
    <t>7.6905, 123.1523</t>
  </si>
  <si>
    <t>7.6365, 123.1982</t>
  </si>
  <si>
    <t>7.6270, 123.2195</t>
  </si>
  <si>
    <t>7.7207, 123.1824</t>
  </si>
  <si>
    <t>7.6488, 123.2419</t>
  </si>
  <si>
    <t>7.6935, 123.1661</t>
  </si>
  <si>
    <t>7.7065, 123.2217</t>
  </si>
  <si>
    <t>7.7191, 123.2126</t>
  </si>
  <si>
    <t>7.6569, 123.1802</t>
  </si>
  <si>
    <t>7.6177, 123.2122</t>
  </si>
  <si>
    <t>7.6910, 123.1721</t>
  </si>
  <si>
    <t>7.6591,123.1799</t>
  </si>
  <si>
    <t>Tininghalang BS</t>
  </si>
  <si>
    <t>Bag-ong Balamban</t>
  </si>
  <si>
    <t>Bag-ong Dalaguete</t>
  </si>
  <si>
    <t>Boniao</t>
  </si>
  <si>
    <t>Delusom</t>
  </si>
  <si>
    <t>Diwan</t>
  </si>
  <si>
    <t>Guripan</t>
  </si>
  <si>
    <t>Kaangayan</t>
  </si>
  <si>
    <t>Kabuhi</t>
  </si>
  <si>
    <t>Lourmah</t>
  </si>
  <si>
    <t>Lower Salug Daku</t>
  </si>
  <si>
    <t>Lower Santo Niño</t>
  </si>
  <si>
    <t>Malubo</t>
  </si>
  <si>
    <t>Manguiles</t>
  </si>
  <si>
    <t>Marabanan</t>
  </si>
  <si>
    <t>Panagaan</t>
  </si>
  <si>
    <t>Paraiso</t>
  </si>
  <si>
    <t>Pedagan</t>
  </si>
  <si>
    <t>Pugwan</t>
  </si>
  <si>
    <t>Sicpao</t>
  </si>
  <si>
    <t>Tuboran</t>
  </si>
  <si>
    <t>Tulan</t>
  </si>
  <si>
    <t>Tumapic</t>
  </si>
  <si>
    <t>Upper Salug Daku</t>
  </si>
  <si>
    <t>Upper Santo Niño</t>
  </si>
  <si>
    <t>MAHAYAG</t>
  </si>
  <si>
    <t>8.1694, 123.4752</t>
  </si>
  <si>
    <t>8.1564, 123.3911</t>
  </si>
  <si>
    <t>8.1492, 123.4507</t>
  </si>
  <si>
    <t>8.1334, 123.4801</t>
  </si>
  <si>
    <t>8.1590, 123.4345</t>
  </si>
  <si>
    <t>8.1531, 123.4081</t>
  </si>
  <si>
    <t>8.0753, 123.4113</t>
  </si>
  <si>
    <t>8.1327, 123.4303</t>
  </si>
  <si>
    <t>8.0682, 123.4556</t>
  </si>
  <si>
    <t>8.1988, 123.4531</t>
  </si>
  <si>
    <t>8.1583, 123.3759</t>
  </si>
  <si>
    <t>8.1639, 123.4836</t>
  </si>
  <si>
    <t>8.1622, 123.4616</t>
  </si>
  <si>
    <t>8.2135, 123.4089</t>
  </si>
  <si>
    <t>8.2330, 123.4176</t>
  </si>
  <si>
    <t>8.1280, 123.4373</t>
  </si>
  <si>
    <t>8.1224, 123.3894</t>
  </si>
  <si>
    <t>8.1051, 123.4544</t>
  </si>
  <si>
    <t>8.1049, 123.4121</t>
  </si>
  <si>
    <t>8.1411, 123.4480</t>
  </si>
  <si>
    <t>8.1360, 123.3907</t>
  </si>
  <si>
    <t>8.0987, 123.3971</t>
  </si>
  <si>
    <t>8.1351, 123.4627</t>
  </si>
  <si>
    <t>8.2184, 123.4474</t>
  </si>
  <si>
    <t>8.1040, 123.4316</t>
  </si>
  <si>
    <t>8.1425, 123.4229</t>
  </si>
  <si>
    <t>8.0854, 123.4473</t>
  </si>
  <si>
    <t>8.11850, 123.4211</t>
  </si>
  <si>
    <t>Guripan BS</t>
  </si>
  <si>
    <t>8.11110, 123.4422</t>
  </si>
  <si>
    <t>Bularong</t>
  </si>
  <si>
    <t>Digon</t>
  </si>
  <si>
    <t>Guinimanan</t>
  </si>
  <si>
    <t>Igat Island</t>
  </si>
  <si>
    <t>Kalian</t>
  </si>
  <si>
    <t>Limbatong</t>
  </si>
  <si>
    <t>Lumbog</t>
  </si>
  <si>
    <t>Sagua</t>
  </si>
  <si>
    <t>Talanusa</t>
  </si>
  <si>
    <t>Tiguian</t>
  </si>
  <si>
    <t>Tulapok</t>
  </si>
  <si>
    <t>7.5412, 123.1403</t>
  </si>
  <si>
    <t>7.5532, 123.1535</t>
  </si>
  <si>
    <t>7.5664, 123.1386</t>
  </si>
  <si>
    <t>7.5515, 123.1372</t>
  </si>
  <si>
    <t>7.5977, 123.1208</t>
  </si>
  <si>
    <t>7.5413, 123.1086</t>
  </si>
  <si>
    <t>7.5906, 123.2365</t>
  </si>
  <si>
    <t>Kolot</t>
  </si>
  <si>
    <t>7.5563, 123.1236</t>
  </si>
  <si>
    <t>7.5548, 123.1774</t>
  </si>
  <si>
    <t>7.5665, 123.2376</t>
  </si>
  <si>
    <t>7.5588, 123.2004</t>
  </si>
  <si>
    <t>7.6032, 123.2625</t>
  </si>
  <si>
    <t>7.5757, 123.1660</t>
  </si>
  <si>
    <t>7.5951, 123.2443</t>
  </si>
  <si>
    <t>7.5527, 123.1171</t>
  </si>
  <si>
    <t>7.5771, 123.2104</t>
  </si>
  <si>
    <t>7.5963, 123.2158</t>
  </si>
  <si>
    <t>Bacahan</t>
  </si>
  <si>
    <t>Balonai</t>
  </si>
  <si>
    <t>Bibilop</t>
  </si>
  <si>
    <t>Buloron</t>
  </si>
  <si>
    <t>Cabaloran</t>
  </si>
  <si>
    <t>Canipay Norte</t>
  </si>
  <si>
    <t>Canipay Sur</t>
  </si>
  <si>
    <t>Cumarom</t>
  </si>
  <si>
    <t>Dakayakan</t>
  </si>
  <si>
    <t>Duelic</t>
  </si>
  <si>
    <t>Dumalinao</t>
  </si>
  <si>
    <t>Ecuan</t>
  </si>
  <si>
    <t>Golictop</t>
  </si>
  <si>
    <t>Guinabot</t>
  </si>
  <si>
    <t>Guitalos</t>
  </si>
  <si>
    <t>Guma</t>
  </si>
  <si>
    <t>Licuro-an</t>
  </si>
  <si>
    <t>Lumpunid</t>
  </si>
  <si>
    <t>New Katipunan</t>
  </si>
  <si>
    <t>New Unidos</t>
  </si>
  <si>
    <t>Palili</t>
  </si>
  <si>
    <t>Pawan</t>
  </si>
  <si>
    <t>Pili</t>
  </si>
  <si>
    <t>Pisompongan</t>
  </si>
  <si>
    <t>Piwan</t>
  </si>
  <si>
    <t>Poblacion B</t>
  </si>
  <si>
    <t>Sigapod</t>
  </si>
  <si>
    <t>Timbaboy</t>
  </si>
  <si>
    <t>Tulbong</t>
  </si>
  <si>
    <t>Tuluan</t>
  </si>
  <si>
    <r>
      <t>Poblacion</t>
    </r>
    <r>
      <rPr>
        <sz val="14"/>
        <color theme="1"/>
        <rFont val="Akrobat"/>
      </rPr>
      <t xml:space="preserve"> A</t>
    </r>
  </si>
  <si>
    <t>MIDSALIP</t>
  </si>
  <si>
    <t>8.0310, 123.3497</t>
  </si>
  <si>
    <t>8.0534, 123.1630</t>
  </si>
  <si>
    <t>8.0283, 123.3313</t>
  </si>
  <si>
    <t>8.0090, 123.3544</t>
  </si>
  <si>
    <t>7.9860, 123.2875</t>
  </si>
  <si>
    <t>8.0403, 123.2958</t>
  </si>
  <si>
    <t>8.0272, 123.2020</t>
  </si>
  <si>
    <t>8.0190, 123.2353</t>
  </si>
  <si>
    <t>8.0188, 123.3666</t>
  </si>
  <si>
    <t>8.0781, 123.2838</t>
  </si>
  <si>
    <t>8.0709, 123.2729</t>
  </si>
  <si>
    <t>8.0205, 123.2942</t>
  </si>
  <si>
    <t>8.0585, 123.2473</t>
  </si>
  <si>
    <t>8.0277, 123.3251</t>
  </si>
  <si>
    <t>8.0868, 123.3062</t>
  </si>
  <si>
    <t>8.0814, 123.2325</t>
  </si>
  <si>
    <t>7.9934, 123.3479</t>
  </si>
  <si>
    <t>8.0331, 123.2511</t>
  </si>
  <si>
    <t>8.0823, 123.2535</t>
  </si>
  <si>
    <t>8.0691, 123.3018</t>
  </si>
  <si>
    <t>8.0722, 123.3164</t>
  </si>
  <si>
    <t>8.0916, 123.2008</t>
  </si>
  <si>
    <t>8.0756, 123.1769</t>
  </si>
  <si>
    <t>8.0491, 123.1962</t>
  </si>
  <si>
    <t>8.0193, 123.1842</t>
  </si>
  <si>
    <t>8.0296, 123.3171</t>
  </si>
  <si>
    <t>8.0329, 123.3148</t>
  </si>
  <si>
    <t>8.0244, 123.2662</t>
  </si>
  <si>
    <t>8.0379, 123.3056</t>
  </si>
  <si>
    <t>8.0823, 123.2708</t>
  </si>
  <si>
    <t>8.0485, 123.2726</t>
  </si>
  <si>
    <t>8.01655,123.3149</t>
  </si>
  <si>
    <t>8.05213,123.3002</t>
  </si>
  <si>
    <t>Alicia</t>
  </si>
  <si>
    <t>Ariosa</t>
  </si>
  <si>
    <t>Bagong Argao</t>
  </si>
  <si>
    <t>Bagong Gutlang</t>
  </si>
  <si>
    <t>Blancia</t>
  </si>
  <si>
    <t>Culo</t>
  </si>
  <si>
    <t>Dalaon</t>
  </si>
  <si>
    <t>Dipolo</t>
  </si>
  <si>
    <t>Dontulan</t>
  </si>
  <si>
    <t>Gonosan</t>
  </si>
  <si>
    <t>Lower Dimalinao</t>
  </si>
  <si>
    <t>Lower Dimorok</t>
  </si>
  <si>
    <t>Mabuhay</t>
  </si>
  <si>
    <t>Madasigon (Pob)</t>
  </si>
  <si>
    <t>Maloloy-on (Pob)</t>
  </si>
  <si>
    <t>Miligan</t>
  </si>
  <si>
    <t>Parasan</t>
  </si>
  <si>
    <t>Rizal</t>
  </si>
  <si>
    <t>Santo Rosario</t>
  </si>
  <si>
    <t>Silangit</t>
  </si>
  <si>
    <t>Simata</t>
  </si>
  <si>
    <t>Sudlon</t>
  </si>
  <si>
    <t>Upper Dimorok</t>
  </si>
  <si>
    <t>MOLAVE</t>
  </si>
  <si>
    <t>8.2054, 123.4640</t>
  </si>
  <si>
    <t>8.2408, 123.4907</t>
  </si>
  <si>
    <t>8.2000, 123.5074</t>
  </si>
  <si>
    <t>8.2399, 123.4632</t>
  </si>
  <si>
    <t>8.0832, 123.4919</t>
  </si>
  <si>
    <t>8.0991, 123.4736</t>
  </si>
  <si>
    <t>8.1026, 123.5097</t>
  </si>
  <si>
    <t>8.0660, 123.4881</t>
  </si>
  <si>
    <t>8.1488, 123.5099</t>
  </si>
  <si>
    <t>8.1680, 123.5066</t>
  </si>
  <si>
    <t>8.11720, 123.5001</t>
  </si>
  <si>
    <t>8.1918, 123.4736</t>
  </si>
  <si>
    <t>8.1075, 123.4774</t>
  </si>
  <si>
    <t>8.0949, 123.4867</t>
  </si>
  <si>
    <t>Makugihon (Pob)</t>
  </si>
  <si>
    <t>8.0921, 123.4822</t>
  </si>
  <si>
    <t>8.0985, 123.4847</t>
  </si>
  <si>
    <t>8.0775, 123.4576</t>
  </si>
  <si>
    <t>8.1248, 123.4870</t>
  </si>
  <si>
    <t>8.0765, 123.4810</t>
  </si>
  <si>
    <t>8.2299, 123.5229</t>
  </si>
  <si>
    <t>8.2280, 123.4770</t>
  </si>
  <si>
    <t>8.2240, 123.4926</t>
  </si>
  <si>
    <t>8.0879, 123.5049</t>
  </si>
  <si>
    <t>8.2080, 123.4987</t>
  </si>
  <si>
    <t>Balangasan</t>
  </si>
  <si>
    <t>Baloyboan</t>
  </si>
  <si>
    <t>Banale</t>
  </si>
  <si>
    <t>Bogo</t>
  </si>
  <si>
    <t>Bomba</t>
  </si>
  <si>
    <t>Buenavista</t>
  </si>
  <si>
    <t>Bulatok</t>
  </si>
  <si>
    <t>Dampalan</t>
  </si>
  <si>
    <t>Dao</t>
  </si>
  <si>
    <t>Deborok</t>
  </si>
  <si>
    <t>Ditoray</t>
  </si>
  <si>
    <t>Dumagoc</t>
  </si>
  <si>
    <t>Gatas</t>
  </si>
  <si>
    <t>Gubac</t>
  </si>
  <si>
    <t>Gubang</t>
  </si>
  <si>
    <t>Kalasan</t>
  </si>
  <si>
    <t>Kawit</t>
  </si>
  <si>
    <t>La Suerte</t>
  </si>
  <si>
    <t>Lala</t>
  </si>
  <si>
    <t>Lapidian</t>
  </si>
  <si>
    <t>Lenienza</t>
  </si>
  <si>
    <t>Lison Valley</t>
  </si>
  <si>
    <t>Lourdes</t>
  </si>
  <si>
    <t>Lower Sibatang</t>
  </si>
  <si>
    <t>Lumad</t>
  </si>
  <si>
    <t>Lumbia</t>
  </si>
  <si>
    <t>Manga</t>
  </si>
  <si>
    <t>Muricay</t>
  </si>
  <si>
    <t>Napolan</t>
  </si>
  <si>
    <t>Palpalan</t>
  </si>
  <si>
    <t>Pedulonan</t>
  </si>
  <si>
    <t>Poloyagan</t>
  </si>
  <si>
    <t xml:space="preserve">San Francisco </t>
  </si>
  <si>
    <t xml:space="preserve">San Jose </t>
  </si>
  <si>
    <t>San Pedro</t>
  </si>
  <si>
    <t>Santa Lucia</t>
  </si>
  <si>
    <t>Santa Maria</t>
  </si>
  <si>
    <t>Santiago</t>
  </si>
  <si>
    <t>Santo Niño</t>
  </si>
  <si>
    <t>Tawagan Sur</t>
  </si>
  <si>
    <t>Tiguma</t>
  </si>
  <si>
    <t>Tuburan</t>
  </si>
  <si>
    <t>Tulangan</t>
  </si>
  <si>
    <t>Tulawas</t>
  </si>
  <si>
    <t>Upper Sibatang</t>
  </si>
  <si>
    <t>White Beach</t>
  </si>
  <si>
    <t>PAGADIAN</t>
  </si>
  <si>
    <t>7.8910, 123.4199</t>
  </si>
  <si>
    <t>7.8233, 123.4283</t>
  </si>
  <si>
    <t>7.8315, 123.4089</t>
  </si>
  <si>
    <t>7.8348, 123.3872</t>
  </si>
  <si>
    <t>7.8347, 123.4269</t>
  </si>
  <si>
    <t>7.8658, 123.4280</t>
  </si>
  <si>
    <t>7.8054, 123.4261</t>
  </si>
  <si>
    <t>7.8268, 123.3975</t>
  </si>
  <si>
    <t>7.8458, 123.4477</t>
  </si>
  <si>
    <t>7.8746, 123.3834</t>
  </si>
  <si>
    <t>7.9062, 123.2800</t>
  </si>
  <si>
    <t>7.8829, 123.4054</t>
  </si>
  <si>
    <t>7.8407, 123.4282</t>
  </si>
  <si>
    <t>7.8926, 123.4137</t>
  </si>
  <si>
    <t>7.8859, 123.3107</t>
  </si>
  <si>
    <t>7.8620, 123.3291</t>
  </si>
  <si>
    <t>7.8170, 123.4281</t>
  </si>
  <si>
    <t>7.8270, 123.4351</t>
  </si>
  <si>
    <t>7.8755, 123.3495</t>
  </si>
  <si>
    <t>7.8909, 123.3715</t>
  </si>
  <si>
    <t>7.8698, 123.4224</t>
  </si>
  <si>
    <t>7.8665, 123.4020</t>
  </si>
  <si>
    <t>7.8850, 123.4441</t>
  </si>
  <si>
    <t>7.8246, 123.4493</t>
  </si>
  <si>
    <t>7.8767, 123.2852</t>
  </si>
  <si>
    <t>7.8375, 123.3440</t>
  </si>
  <si>
    <t>7.8614, 123.3504</t>
  </si>
  <si>
    <t>7.8509, 123.4575</t>
  </si>
  <si>
    <t>7.9330, 123.2207</t>
  </si>
  <si>
    <t>7.8886, 123.2638</t>
  </si>
  <si>
    <t>7.9006, 123.3314</t>
  </si>
  <si>
    <t>7.8446, 123.3680</t>
  </si>
  <si>
    <t>7.8306, 123.4449</t>
  </si>
  <si>
    <t>7.8631, 123.3644</t>
  </si>
  <si>
    <t>7.8639, 123.4473</t>
  </si>
  <si>
    <t>7.8272, 123.4659</t>
  </si>
  <si>
    <t>7.8106, 123.4138</t>
  </si>
  <si>
    <t>7.8523, 123.3918</t>
  </si>
  <si>
    <t>7.8735, 123.3259</t>
  </si>
  <si>
    <t>7.7908, 123.4206</t>
  </si>
  <si>
    <t>7.8279, 123.4389</t>
  </si>
  <si>
    <t>7.8323, 123.4359</t>
  </si>
  <si>
    <t>7.8237, 123.4429</t>
  </si>
  <si>
    <t>7.8189, 123.4326</t>
  </si>
  <si>
    <t>7.8332, 123.4398</t>
  </si>
  <si>
    <t>7.8218, 123.4393</t>
  </si>
  <si>
    <t>7.8291, 123.4283</t>
  </si>
  <si>
    <t>7.8342, 123.4796</t>
  </si>
  <si>
    <t>7.8406, 123.4634</t>
  </si>
  <si>
    <t>7.8370, 123.4481</t>
  </si>
  <si>
    <t>7.9102, 123.3889</t>
  </si>
  <si>
    <t>7.8779, 123.4613</t>
  </si>
  <si>
    <t>7.8434, 123.3282</t>
  </si>
  <si>
    <t>7.8147, 123.4495</t>
  </si>
  <si>
    <t>Dumagoc REL</t>
  </si>
  <si>
    <t>Balabawan</t>
  </si>
  <si>
    <t>Balong-balong</t>
  </si>
  <si>
    <t>Colojo</t>
  </si>
  <si>
    <t>Liasan</t>
  </si>
  <si>
    <t>Liguac</t>
  </si>
  <si>
    <t>Limbayan</t>
  </si>
  <si>
    <t>Lower Paniki-an</t>
  </si>
  <si>
    <t>Panubigan</t>
  </si>
  <si>
    <t>Punta Flecha</t>
  </si>
  <si>
    <t>Sugbay Dos</t>
  </si>
  <si>
    <t>Tongao</t>
  </si>
  <si>
    <t>Upper Paniki-an</t>
  </si>
  <si>
    <t>PITOGO</t>
  </si>
  <si>
    <t>7.4650, 123.3029</t>
  </si>
  <si>
    <t>7.4704, 123.3469</t>
  </si>
  <si>
    <t>7.51210, 123.2962</t>
  </si>
  <si>
    <t>7.4830, 123.2991</t>
  </si>
  <si>
    <t>7.4610, 123.3315</t>
  </si>
  <si>
    <t>7.3668, 123.3985</t>
  </si>
  <si>
    <t>7.4149, 123.3438</t>
  </si>
  <si>
    <t>7.4204, 123.3806</t>
  </si>
  <si>
    <t>7.4297, 123.3242</t>
  </si>
  <si>
    <t>7.4526, 123.3119</t>
  </si>
  <si>
    <t>7.4022, 123.3694</t>
  </si>
  <si>
    <t>7.4801, 123.3341</t>
  </si>
  <si>
    <t>7.4831, 123.3248</t>
  </si>
  <si>
    <t>7.4425, 123.3473</t>
  </si>
  <si>
    <t>7.4310, 123.3668</t>
  </si>
  <si>
    <t>7.51203,123.2964</t>
  </si>
  <si>
    <t>Balong2x BS</t>
  </si>
  <si>
    <t>7.54710,123.3022</t>
  </si>
  <si>
    <t>7.55826,123.2475</t>
  </si>
  <si>
    <t>7.40695, 123.4138</t>
  </si>
  <si>
    <t>New Oroquieta</t>
  </si>
  <si>
    <t>7.42264, 123.3850</t>
  </si>
  <si>
    <t>7.4991, 123.3440</t>
  </si>
  <si>
    <t>7.42264, 123.385</t>
  </si>
  <si>
    <t>Bag-ong Opon</t>
  </si>
  <si>
    <t>Bambong Daku</t>
  </si>
  <si>
    <t>Bambong Diut</t>
  </si>
  <si>
    <t>Bobongan</t>
  </si>
  <si>
    <t>Campo IV</t>
  </si>
  <si>
    <t>Campo V</t>
  </si>
  <si>
    <t>Caniangan</t>
  </si>
  <si>
    <t>Dipalusan</t>
  </si>
  <si>
    <t>Eastern Bobongan</t>
  </si>
  <si>
    <t>Esperanza</t>
  </si>
  <si>
    <t>Gapasan</t>
  </si>
  <si>
    <t>Lower Sambulawan</t>
  </si>
  <si>
    <t>Mabini</t>
  </si>
  <si>
    <t>Magsaysay</t>
  </si>
  <si>
    <t>Malating</t>
  </si>
  <si>
    <t>Paradise</t>
  </si>
  <si>
    <t>Pasingkalan</t>
  </si>
  <si>
    <t>San Fernando</t>
  </si>
  <si>
    <t>Sapa Anding</t>
  </si>
  <si>
    <t>Sinaguing</t>
  </si>
  <si>
    <t>Switch</t>
  </si>
  <si>
    <t>Upper Laperian</t>
  </si>
  <si>
    <t>Wakat</t>
  </si>
  <si>
    <t>RAMON MAGSAYSAY</t>
  </si>
  <si>
    <t>8.0407, 123.4362</t>
  </si>
  <si>
    <t>8.0328, 123.4660</t>
  </si>
  <si>
    <t>8.0195, 123.4597</t>
  </si>
  <si>
    <t>7.9948, 123.4642</t>
  </si>
  <si>
    <t>8.0220, 123.5007</t>
  </si>
  <si>
    <t>8.0324, 123.4887</t>
  </si>
  <si>
    <t>8.0008, 123.5073</t>
  </si>
  <si>
    <t>8.0098, 123.4108</t>
  </si>
  <si>
    <t>8.0402, 123.4768</t>
  </si>
  <si>
    <t>7.9917, 123.48210</t>
  </si>
  <si>
    <t>8.0001, 123.4427</t>
  </si>
  <si>
    <t>8.0525, 123.4492</t>
  </si>
  <si>
    <t>8.0179, 123.4265</t>
  </si>
  <si>
    <t>7.9645, 123.4774</t>
  </si>
  <si>
    <t>8.0467, 123.4185</t>
  </si>
  <si>
    <t>8.0605, 123.4291</t>
  </si>
  <si>
    <t>8.0227, 123.4314</t>
  </si>
  <si>
    <t>8.0230, 123.4808</t>
  </si>
  <si>
    <t>8.0130, 123.5174</t>
  </si>
  <si>
    <t>8.0040, 123.4859</t>
  </si>
  <si>
    <t>8.0157, 123.4472</t>
  </si>
  <si>
    <t>7.9880, 123.4291</t>
  </si>
  <si>
    <t>7.9729, 123.4658</t>
  </si>
  <si>
    <t>8.0234, 123.4133</t>
  </si>
  <si>
    <t>8.0415, 123.4836</t>
  </si>
  <si>
    <t>7.9911, 123.4431</t>
  </si>
  <si>
    <t>8.0063, 123.4611</t>
  </si>
  <si>
    <t>8.0305, 123.5399</t>
  </si>
  <si>
    <t>Wakat Relay</t>
  </si>
  <si>
    <t>Betinan</t>
  </si>
  <si>
    <t>Calube</t>
  </si>
  <si>
    <t>Concepcion</t>
  </si>
  <si>
    <t>Dao-an</t>
  </si>
  <si>
    <t>Dumalian</t>
  </si>
  <si>
    <t>Fatima</t>
  </si>
  <si>
    <t>Langilan</t>
  </si>
  <si>
    <t>Laperian</t>
  </si>
  <si>
    <t>Libuganan</t>
  </si>
  <si>
    <t>Limonan</t>
  </si>
  <si>
    <t>Mati</t>
  </si>
  <si>
    <t>Ocapan</t>
  </si>
  <si>
    <t>Tapian</t>
  </si>
  <si>
    <t>SAN MIGUEL</t>
  </si>
  <si>
    <t>7.6544, 123.2808</t>
  </si>
  <si>
    <t>7.6287, 123.2544</t>
  </si>
  <si>
    <t>7.7063, 123.2786</t>
  </si>
  <si>
    <t>7.7123, 123.2559</t>
  </si>
  <si>
    <t>7.6766, 123.2942</t>
  </si>
  <si>
    <t>7.7235, 123.2427</t>
  </si>
  <si>
    <t>7.6852, 123.2595</t>
  </si>
  <si>
    <t>7.6939, 123.3121</t>
  </si>
  <si>
    <t>7.6677, 123.2633</t>
  </si>
  <si>
    <t>7.6862, 123.2727</t>
  </si>
  <si>
    <t>7.6620, 123.2715</t>
  </si>
  <si>
    <t>7.6843, 123.2961</t>
  </si>
  <si>
    <t>7.7044, 123.2920</t>
  </si>
  <si>
    <t>7.7237, 123.2709</t>
  </si>
  <si>
    <t>7.6492, 123.2667</t>
  </si>
  <si>
    <t>7.6926, 123.2545</t>
  </si>
  <si>
    <t>7.6537, 123.2500</t>
  </si>
  <si>
    <t>7.6153, 123.2590</t>
  </si>
  <si>
    <t>7.6547,123.2808</t>
  </si>
  <si>
    <t>Betinan BS</t>
  </si>
  <si>
    <t>7.70688,123.2783</t>
  </si>
  <si>
    <t>Calube BS</t>
  </si>
  <si>
    <t>Bubual</t>
  </si>
  <si>
    <t>Buton</t>
  </si>
  <si>
    <t>Culasian</t>
  </si>
  <si>
    <t>Daplayan</t>
  </si>
  <si>
    <t>Kalilangan</t>
  </si>
  <si>
    <t>Kapamanok</t>
  </si>
  <si>
    <t>Kondum</t>
  </si>
  <si>
    <t>Lumbayao</t>
  </si>
  <si>
    <t>Marcos Village</t>
  </si>
  <si>
    <t>Miasin</t>
  </si>
  <si>
    <t>Mulansong</t>
  </si>
  <si>
    <t>Pao</t>
  </si>
  <si>
    <t>Payag</t>
  </si>
  <si>
    <t>Pongapong</t>
  </si>
  <si>
    <t>Sacbulan</t>
  </si>
  <si>
    <t>Sagasan</t>
  </si>
  <si>
    <t>Senior</t>
  </si>
  <si>
    <t>Songgoy</t>
  </si>
  <si>
    <t>Tandubuay</t>
  </si>
  <si>
    <t>Teniapan</t>
  </si>
  <si>
    <t>Ticala Island</t>
  </si>
  <si>
    <t>Tubo-pait</t>
  </si>
  <si>
    <t>Villakapa</t>
  </si>
  <si>
    <t>SAN PABLO</t>
  </si>
  <si>
    <t>7.7231, 123.4502</t>
  </si>
  <si>
    <t>7.6290, 123.4472</t>
  </si>
  <si>
    <t>7.6309, 123.4547</t>
  </si>
  <si>
    <t>7.7024, 123.4722</t>
  </si>
  <si>
    <t>7.6672, 123.3912</t>
  </si>
  <si>
    <t>7.6480, 123.4103</t>
  </si>
  <si>
    <t>7.6916, 123.4066</t>
  </si>
  <si>
    <t>7.6916, 123.3846</t>
  </si>
  <si>
    <t>7.7162, 123.3979</t>
  </si>
  <si>
    <t>7.6515, 123.4656</t>
  </si>
  <si>
    <t>7.6558, 123.4346</t>
  </si>
  <si>
    <t>7.7099, 123.4028</t>
  </si>
  <si>
    <t>7.6641, 123.4440</t>
  </si>
  <si>
    <t>7.6620, 123.4080</t>
  </si>
  <si>
    <t>7.7220, 123.3873</t>
  </si>
  <si>
    <t>7.6551, 123.4601</t>
  </si>
  <si>
    <t>7.6959, 123.4126</t>
  </si>
  <si>
    <t>7.7043, 123.4341</t>
  </si>
  <si>
    <t>7.6666, 123.4654</t>
  </si>
  <si>
    <t>7.6950, 123.4606</t>
  </si>
  <si>
    <t>7.6837, 123.4572</t>
  </si>
  <si>
    <t>7.6838, 123.3734</t>
  </si>
  <si>
    <t>7.6397, 123.4659</t>
  </si>
  <si>
    <t>7.6823, 123.4745</t>
  </si>
  <si>
    <t>7.6111, 123.4584</t>
  </si>
  <si>
    <t>7.7042, 123.4144</t>
  </si>
  <si>
    <t>7.6824, 123.4388</t>
  </si>
  <si>
    <t>Bag-ong Baroy</t>
  </si>
  <si>
    <t>Barubuhan</t>
  </si>
  <si>
    <t>Bulanay</t>
  </si>
  <si>
    <t>Eastern Poblacion</t>
  </si>
  <si>
    <t>Lumangoy</t>
  </si>
  <si>
    <t>New Carmen</t>
  </si>
  <si>
    <t>Picturan</t>
  </si>
  <si>
    <t>San Miguel</t>
  </si>
  <si>
    <t>Sawa</t>
  </si>
  <si>
    <t>Tungawan</t>
  </si>
  <si>
    <t>Upper Sicpao</t>
  </si>
  <si>
    <t>SOMINOT</t>
  </si>
  <si>
    <t>7.79186,123.4217</t>
  </si>
  <si>
    <t>Senior Relay</t>
  </si>
  <si>
    <t>7.9960, 123.4051</t>
  </si>
  <si>
    <t>8.0851, 123.4033</t>
  </si>
  <si>
    <t>8.0443, 123.3617</t>
  </si>
  <si>
    <t>8.0455, 123.3353</t>
  </si>
  <si>
    <t>7.9645, 123.3331</t>
  </si>
  <si>
    <t>8.0376, 123.3965</t>
  </si>
  <si>
    <t>8.0776, 123.3988</t>
  </si>
  <si>
    <t>8.0278, 123.3745</t>
  </si>
  <si>
    <t>7.9808, 123.3634</t>
  </si>
  <si>
    <t>8.0879, 123.3449</t>
  </si>
  <si>
    <t>7.9816, 123.3970</t>
  </si>
  <si>
    <t>8.0402, 123.3833</t>
  </si>
  <si>
    <t>8.0574, 123.4012</t>
  </si>
  <si>
    <t>8.0318, 123.3894</t>
  </si>
  <si>
    <t>8.0047, 123.3748</t>
  </si>
  <si>
    <t>7.9624, 123.3586</t>
  </si>
  <si>
    <t>8.0799, 123.3763</t>
  </si>
  <si>
    <t>8.0698, 123.3823</t>
  </si>
  <si>
    <t>8.0373,123.3973</t>
  </si>
  <si>
    <t>Sominot BS</t>
  </si>
  <si>
    <t>Abong-abong</t>
  </si>
  <si>
    <t>Baganian</t>
  </si>
  <si>
    <t>Baya-baya</t>
  </si>
  <si>
    <t>Capisan</t>
  </si>
  <si>
    <t>Culabay</t>
  </si>
  <si>
    <t>Doña Josefina</t>
  </si>
  <si>
    <t>Malim</t>
  </si>
  <si>
    <t>Manicaan</t>
  </si>
  <si>
    <t>San Francisco</t>
  </si>
  <si>
    <t>Tultolan</t>
  </si>
  <si>
    <t>TABINA</t>
  </si>
  <si>
    <t>7.4555, 123.3986</t>
  </si>
  <si>
    <t>7.3847, 123.4008</t>
  </si>
  <si>
    <t>7.3737, 123.42130</t>
  </si>
  <si>
    <t>7.4034, 123.4432</t>
  </si>
  <si>
    <t>7.4465, 123.3798</t>
  </si>
  <si>
    <t>7.3905, 123.4354</t>
  </si>
  <si>
    <t>7.4271, 123.4202</t>
  </si>
  <si>
    <t>7.4321, 123.4090</t>
  </si>
  <si>
    <t>7.3793, 123.4483</t>
  </si>
  <si>
    <t>7.4022, 123.4132</t>
  </si>
  <si>
    <t>7.4644, 123.4112</t>
  </si>
  <si>
    <t>7.4148, 123.3945</t>
  </si>
  <si>
    <t>7.4040, 123.3905</t>
  </si>
  <si>
    <t>7.40691,123.4138</t>
  </si>
  <si>
    <t>Malim Relay</t>
  </si>
  <si>
    <t>7.43461,123.4510</t>
  </si>
  <si>
    <t>Alang-alang</t>
  </si>
  <si>
    <t>Angeles</t>
  </si>
  <si>
    <t>Bag-ong Tabogon</t>
  </si>
  <si>
    <t>Balugo</t>
  </si>
  <si>
    <t>Cabgan</t>
  </si>
  <si>
    <t>Calolot</t>
  </si>
  <si>
    <t>Fabian (Balucot)</t>
  </si>
  <si>
    <t>Gabunon</t>
  </si>
  <si>
    <t>Happy Valley (Pob)</t>
  </si>
  <si>
    <t>Kapalaran</t>
  </si>
  <si>
    <t>Libato</t>
  </si>
  <si>
    <t>Limamaan</t>
  </si>
  <si>
    <t>Lower Lodiong (Pob)</t>
  </si>
  <si>
    <t>Lower Tiparak</t>
  </si>
  <si>
    <t>Lower Usogan</t>
  </si>
  <si>
    <t>Maya-maya</t>
  </si>
  <si>
    <t>New Village (Pob)</t>
  </si>
  <si>
    <t>Pelocuban</t>
  </si>
  <si>
    <t>Riverside (Pob)</t>
  </si>
  <si>
    <t>Sagrada Familia</t>
  </si>
  <si>
    <t>Sumalig</t>
  </si>
  <si>
    <t>Upper Liaison</t>
  </si>
  <si>
    <t>Upper Lodiong</t>
  </si>
  <si>
    <t>Upper Tiparak</t>
  </si>
  <si>
    <t>TAMBULIG</t>
  </si>
  <si>
    <t>8.0708, 123.5009</t>
  </si>
  <si>
    <t>8.0014, 123.6032</t>
  </si>
  <si>
    <t>8.14110, 123.5251</t>
  </si>
  <si>
    <t>8.1243, 123.5507</t>
  </si>
  <si>
    <t>8.0270, 123.5241</t>
  </si>
  <si>
    <t>7.9969, 123.6608</t>
  </si>
  <si>
    <t>8.0697, 123.5408</t>
  </si>
  <si>
    <t>8.1283, 123.5374</t>
  </si>
  <si>
    <t>8.0613, 123.5513</t>
  </si>
  <si>
    <t>8.0806, 123.5211</t>
  </si>
  <si>
    <t>8.0671, 123.5359</t>
  </si>
  <si>
    <t>8.0309, 123.5401</t>
  </si>
  <si>
    <t>8.1081, 123.5294</t>
  </si>
  <si>
    <t>8.0908, 123.5583</t>
  </si>
  <si>
    <t>8.1249, 123.5184</t>
  </si>
  <si>
    <t>8.0719, 123.5322</t>
  </si>
  <si>
    <t>8.0464, 123.5234</t>
  </si>
  <si>
    <t>8.0379, 123.5535</t>
  </si>
  <si>
    <t>8.1570, 123.5343</t>
  </si>
  <si>
    <t>8.0627, 123.5384</t>
  </si>
  <si>
    <t>8.1284, 123.4981</t>
  </si>
  <si>
    <t>8.0708, 123.5378</t>
  </si>
  <si>
    <t>7.9978, 123.5607</t>
  </si>
  <si>
    <t>8.0204, 123.5625</t>
  </si>
  <si>
    <t>8.0053, 123.5378</t>
  </si>
  <si>
    <t>8.0108, 123.6296</t>
  </si>
  <si>
    <t>8.1074, 123.5457</t>
  </si>
  <si>
    <t>8.0577, 123.5355</t>
  </si>
  <si>
    <t>8.1378, 123.5402</t>
  </si>
  <si>
    <t>8.0973, 123.5504</t>
  </si>
  <si>
    <t>8.0470, 123.5037</t>
  </si>
  <si>
    <t>Begong</t>
  </si>
  <si>
    <t>Busol</t>
  </si>
  <si>
    <t>Caluma</t>
  </si>
  <si>
    <t>Diana Countryside</t>
  </si>
  <si>
    <t>Guinlin</t>
  </si>
  <si>
    <t>Lacarayan</t>
  </si>
  <si>
    <t>Lacupayan</t>
  </si>
  <si>
    <t>Limas</t>
  </si>
  <si>
    <t>Longmot</t>
  </si>
  <si>
    <t>Maragang</t>
  </si>
  <si>
    <t>Nangan-nangan</t>
  </si>
  <si>
    <t>New Tuburan</t>
  </si>
  <si>
    <t>Nilo</t>
  </si>
  <si>
    <t>Tigbao</t>
  </si>
  <si>
    <t>Timolan</t>
  </si>
  <si>
    <t>Upper Nilo</t>
  </si>
  <si>
    <t>TIGBAO</t>
  </si>
  <si>
    <t>7.8358, 123.3053</t>
  </si>
  <si>
    <t>7.8568, 123.2390</t>
  </si>
  <si>
    <t>7.8529, 123.3106</t>
  </si>
  <si>
    <t>7.8653, 123.2759</t>
  </si>
  <si>
    <t>7.8019, 123.3023</t>
  </si>
  <si>
    <t>7.8690, 123.2130</t>
  </si>
  <si>
    <t>7.8474, 123.2754</t>
  </si>
  <si>
    <t>7.8603, 123.2300</t>
  </si>
  <si>
    <t>7.8259, 123.2863</t>
  </si>
  <si>
    <t>7.8183, 123.3095</t>
  </si>
  <si>
    <t>7.8502, 123.2593</t>
  </si>
  <si>
    <t>7.8895, 123.2262</t>
  </si>
  <si>
    <t>7.9103, 123.2018</t>
  </si>
  <si>
    <t>7.7834, 123.2485</t>
  </si>
  <si>
    <t>7.8459, 123.2504</t>
  </si>
  <si>
    <t>7.8199, 123.2276</t>
  </si>
  <si>
    <t>7.8120, 123.2382</t>
  </si>
  <si>
    <t>7.8403, 123.2466</t>
  </si>
  <si>
    <t>7.95464,123.4601</t>
  </si>
  <si>
    <t>Lebayoy</t>
  </si>
  <si>
    <t>Upper Nilo RL</t>
  </si>
  <si>
    <t>Mate</t>
  </si>
  <si>
    <t>Alindahaw</t>
  </si>
  <si>
    <t>Baclay</t>
  </si>
  <si>
    <t>Buenasuerte</t>
  </si>
  <si>
    <t>Curvada</t>
  </si>
  <si>
    <t>Lower Bayao</t>
  </si>
  <si>
    <t>Luy-a</t>
  </si>
  <si>
    <t>Manilan</t>
  </si>
  <si>
    <t>Manlayag</t>
  </si>
  <si>
    <t>Militar</t>
  </si>
  <si>
    <t>Navalan</t>
  </si>
  <si>
    <t>Panduma Senior</t>
  </si>
  <si>
    <t>San Antonio</t>
  </si>
  <si>
    <t>San Carlos (Pob)</t>
  </si>
  <si>
    <t>Santo Niño (Pob)</t>
  </si>
  <si>
    <t>Sugod</t>
  </si>
  <si>
    <t>Tabuan</t>
  </si>
  <si>
    <t>Tagulo</t>
  </si>
  <si>
    <t>Tinotungan</t>
  </si>
  <si>
    <t>Upper Bayao</t>
  </si>
  <si>
    <t>TUKURAN</t>
  </si>
  <si>
    <t>7.8515, 123.5606</t>
  </si>
  <si>
    <t>7.8907, 123.6140</t>
  </si>
  <si>
    <t>7.9092, 123.5925</t>
  </si>
  <si>
    <t>7.9576, 123.4477</t>
  </si>
  <si>
    <t>7.8762, 123.5660</t>
  </si>
  <si>
    <t>7.8678, 123.5863</t>
  </si>
  <si>
    <t>7.9795, 123.4354</t>
  </si>
  <si>
    <t>7.8587, 123.5996</t>
  </si>
  <si>
    <t>7.8491, 123.5470</t>
  </si>
  <si>
    <t>7.8884, 123.5387</t>
  </si>
  <si>
    <t>7.9114, 123.5507</t>
  </si>
  <si>
    <t>7.9394, 123.5282</t>
  </si>
  <si>
    <t>7.8417, 123.5859</t>
  </si>
  <si>
    <t>7.9423, 123.4941</t>
  </si>
  <si>
    <t>7.8523, 123.5705</t>
  </si>
  <si>
    <t>7.9424, 123.4782</t>
  </si>
  <si>
    <t>7.8646, 123.6286</t>
  </si>
  <si>
    <t>7.8518, 123.5741</t>
  </si>
  <si>
    <t>7.8488, 123.5791</t>
  </si>
  <si>
    <t>7.9060, 123.5751</t>
  </si>
  <si>
    <t>7.8410, 123.6129</t>
  </si>
  <si>
    <t>7.8848, 123.5568</t>
  </si>
  <si>
    <t>7.8330, 123.6242</t>
  </si>
  <si>
    <t>7.8765, 123.5921</t>
  </si>
  <si>
    <t>7.8714, 123.5484</t>
  </si>
  <si>
    <t>7.8683,123.5859</t>
  </si>
  <si>
    <t>Curvada BS</t>
  </si>
  <si>
    <t>Dao Medical BS</t>
  </si>
  <si>
    <t>Ambulon</t>
  </si>
  <si>
    <t>Biu-os</t>
  </si>
  <si>
    <t>Cogon</t>
  </si>
  <si>
    <t>Danan</t>
  </si>
  <si>
    <t>Kabatan (Pob)</t>
  </si>
  <si>
    <t>Kapatagan</t>
  </si>
  <si>
    <t>Limason</t>
  </si>
  <si>
    <t>Linoguayan</t>
  </si>
  <si>
    <t>Lumbal</t>
  </si>
  <si>
    <t>Lunib</t>
  </si>
  <si>
    <t>Maculay</t>
  </si>
  <si>
    <t>Maraya</t>
  </si>
  <si>
    <t>Sagucan</t>
  </si>
  <si>
    <t>Walingwaling</t>
  </si>
  <si>
    <t>VINCENZO SAGON</t>
  </si>
  <si>
    <t>7.4889, 123.1877</t>
  </si>
  <si>
    <t>7.5275, 123.1272</t>
  </si>
  <si>
    <t>7.5355, 123.1947</t>
  </si>
  <si>
    <t>7.5093, 123.1339</t>
  </si>
  <si>
    <t>7.5148, 123.1712</t>
  </si>
  <si>
    <t>7.5223, 123.1844</t>
  </si>
  <si>
    <t>7.4988, 123.1733</t>
  </si>
  <si>
    <t>7.5378, 123.1701</t>
  </si>
  <si>
    <t>7.4982, 123.1540</t>
  </si>
  <si>
    <t>7.5211, 123.2044</t>
  </si>
  <si>
    <t>7.5329, 123.2166</t>
  </si>
  <si>
    <t>7.5243, 123.1557</t>
  </si>
  <si>
    <t>7.5403, 123.2231</t>
  </si>
  <si>
    <t>7.4782, 123.1679</t>
  </si>
  <si>
    <t>7.5369,123.1950</t>
  </si>
  <si>
    <t>Cogon BS</t>
  </si>
  <si>
    <t xml:space="preserve">LOS | NLOS </t>
  </si>
  <si>
    <t>Magahis, Margos</t>
  </si>
  <si>
    <t>Lower Liason</t>
  </si>
  <si>
    <t>MRK</t>
  </si>
  <si>
    <t>BRGY</t>
  </si>
  <si>
    <t>Prepared by:</t>
  </si>
  <si>
    <t>LINK INFORMATION</t>
  </si>
  <si>
    <t>WIN</t>
  </si>
  <si>
    <t>: Barangay Access Point (Halls, Centers)</t>
  </si>
  <si>
    <t>X</t>
  </si>
  <si>
    <t>: Line of Sight (Between AP &amp; Stations)</t>
  </si>
  <si>
    <t>: Elementary Schools (And or Integrated)</t>
  </si>
  <si>
    <t>: National High Schools (And or Integrated)</t>
  </si>
  <si>
    <t>: Relay Stations (For priority remote barangay)</t>
  </si>
  <si>
    <t>: Other Installations (Purok, Gyms, Checkpoint)</t>
  </si>
  <si>
    <t>: Barangay with WiFi Installation(s)</t>
  </si>
  <si>
    <t>BASE STATION</t>
  </si>
  <si>
    <t>MUN NAME</t>
  </si>
  <si>
    <t>BRGY NAME</t>
  </si>
  <si>
    <t>CERTIFIED CORRECT:</t>
  </si>
  <si>
    <t>Lower Campo Islam</t>
  </si>
  <si>
    <t>Upper Campo Islam</t>
  </si>
  <si>
    <t>Pag-asa (Pob)</t>
  </si>
  <si>
    <t>Paglaum (Pob)</t>
  </si>
  <si>
    <t>Brgys without Installations</t>
  </si>
  <si>
    <t>Brgys for Installations (LOS)</t>
  </si>
  <si>
    <t>JAIME CASTILLON MAATA</t>
  </si>
  <si>
    <t>Network Administrator</t>
  </si>
  <si>
    <t>Victory Free WiFi Project</t>
  </si>
  <si>
    <t>CISO Chief / Project Manager</t>
  </si>
  <si>
    <t>JUSTIN AHMED PAOLO C. HERERRA</t>
  </si>
  <si>
    <t>TOT</t>
  </si>
  <si>
    <t>AURORA</t>
  </si>
  <si>
    <t xml:space="preserve">Source: </t>
  </si>
  <si>
    <t>https://victoryfreewifi.ml/ciso-files/VFW_Report_FEB-2024.xlsx</t>
  </si>
  <si>
    <t>Barangay Halls</t>
  </si>
  <si>
    <t>Barangays with none-LOS</t>
  </si>
  <si>
    <t>Barangays with clear-LOS</t>
  </si>
  <si>
    <t>CKP</t>
  </si>
  <si>
    <t>Number of Barangays</t>
  </si>
  <si>
    <t>Total Public Schools</t>
  </si>
  <si>
    <t>Base/Relay Stations</t>
  </si>
  <si>
    <t>Border Checkpoints</t>
  </si>
  <si>
    <t xml:space="preserve">Other Public Places </t>
  </si>
  <si>
    <t>TOTAL INSTALLATIONS</t>
  </si>
  <si>
    <t>INSTALLATION SUMMARY REPORT</t>
  </si>
  <si>
    <t>2. Not included the installations in Dao Provincial Complex Pagadian City, with ten (10) active sites.</t>
  </si>
  <si>
    <t>1. Bayog installations pending due to the intended Base Station has not yet been implemented.</t>
  </si>
  <si>
    <t>3. Barangays identified as non-LOS were subject to non-priority sites due to difficulty in implementation.</t>
  </si>
  <si>
    <t>Barangays with Installation</t>
  </si>
  <si>
    <t>San Juan REL</t>
  </si>
  <si>
    <t>Cogon REL</t>
  </si>
  <si>
    <t>: Senior High School/Voc. Technical Schoool)</t>
  </si>
  <si>
    <r>
      <t>TOTALS</t>
    </r>
    <r>
      <rPr>
        <b/>
        <vertAlign val="superscript"/>
        <sz val="14"/>
        <color rgb="FFFF0000"/>
        <rFont val="Akrobat"/>
      </rPr>
      <t>2</t>
    </r>
  </si>
  <si>
    <r>
      <t>INSTALLATIONS</t>
    </r>
    <r>
      <rPr>
        <b/>
        <vertAlign val="superscript"/>
        <sz val="14"/>
        <color rgb="FFFF0000"/>
        <rFont val="Akrobat"/>
      </rPr>
      <t>1</t>
    </r>
  </si>
  <si>
    <r>
      <rPr>
        <b/>
        <vertAlign val="superscript"/>
        <sz val="12"/>
        <color rgb="FFFF0000"/>
        <rFont val="Akrobat"/>
      </rPr>
      <t>1</t>
    </r>
    <r>
      <rPr>
        <b/>
        <sz val="12"/>
        <color theme="1"/>
        <rFont val="Akrobat"/>
      </rPr>
      <t>INSTS:</t>
    </r>
  </si>
  <si>
    <r>
      <rPr>
        <b/>
        <vertAlign val="superscript"/>
        <sz val="12"/>
        <color rgb="FFFF0000"/>
        <rFont val="Akrobat"/>
      </rPr>
      <t>2</t>
    </r>
    <r>
      <rPr>
        <b/>
        <sz val="12"/>
        <color theme="1"/>
        <rFont val="Akrobat"/>
      </rPr>
      <t>RECAP:</t>
    </r>
  </si>
  <si>
    <r>
      <rPr>
        <b/>
        <vertAlign val="superscript"/>
        <sz val="12"/>
        <color rgb="FFFF0000"/>
        <rFont val="Akrobat"/>
      </rPr>
      <t>2</t>
    </r>
    <r>
      <rPr>
        <b/>
        <sz val="12"/>
        <color theme="1"/>
        <rFont val="Akrobat"/>
      </rPr>
      <t>NOTES:</t>
    </r>
  </si>
  <si>
    <t>As of 29/02/2024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</si>
</sst>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krobat"/>
    </font>
    <font>
      <sz val="12"/>
      <name val="Akrobat"/>
    </font>
    <font>
      <b/>
      <sz val="14"/>
      <name val="Akrobat"/>
    </font>
    <font>
      <sz val="14"/>
      <name val="Akrobat"/>
    </font>
    <font>
      <sz val="14"/>
      <color theme="1"/>
      <name val="Akrobat"/>
    </font>
    <font>
      <sz val="14"/>
      <color rgb="FF00B050"/>
      <name val="Akrobat"/>
    </font>
    <font>
      <sz val="14"/>
      <color rgb="FFFF0000"/>
      <name val="Akrobat"/>
    </font>
    <font>
      <b/>
      <sz val="14"/>
      <color theme="1"/>
      <name val="Akrobat"/>
    </font>
    <font>
      <u/>
      <sz val="14"/>
      <color theme="1"/>
      <name val="Akrobat"/>
    </font>
    <font>
      <sz val="11"/>
      <color theme="1"/>
      <name val="Akrobat"/>
    </font>
    <font>
      <b/>
      <sz val="11"/>
      <color theme="1"/>
      <name val="Akrobat"/>
    </font>
    <font>
      <sz val="10"/>
      <color theme="1"/>
      <name val="Akrobat"/>
    </font>
    <font>
      <sz val="16"/>
      <color theme="1"/>
      <name val="Akrobat"/>
    </font>
    <font>
      <b/>
      <sz val="16"/>
      <color theme="1"/>
      <name val="Akrobat"/>
    </font>
    <font>
      <sz val="36"/>
      <color theme="1"/>
      <name val="Akrobat"/>
    </font>
    <font>
      <b/>
      <sz val="11"/>
      <name val="Akrobat"/>
    </font>
    <font>
      <sz val="10"/>
      <name val="Akrobat"/>
    </font>
    <font>
      <b/>
      <sz val="12"/>
      <color rgb="FFFF0000"/>
      <name val="Akrobat"/>
    </font>
    <font>
      <sz val="12"/>
      <color theme="1"/>
      <name val="Akrobat"/>
    </font>
    <font>
      <sz val="13"/>
      <color theme="1"/>
      <name val="Akrobat"/>
    </font>
    <font>
      <b/>
      <sz val="13"/>
      <color theme="1"/>
      <name val="Akrobat"/>
    </font>
    <font>
      <b/>
      <sz val="12"/>
      <color theme="1"/>
      <name val="Akrobat"/>
    </font>
    <font>
      <b/>
      <vertAlign val="superscript"/>
      <sz val="14"/>
      <color rgb="FFFF0000"/>
      <name val="Akrobat"/>
    </font>
    <font>
      <b/>
      <vertAlign val="superscript"/>
      <sz val="12"/>
      <color rgb="FFFF0000"/>
      <name val="Akrobat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" fillId="0" borderId="0" xfId="0" applyFont="1"/>
    <xf numFmtId="0" fontId="5" fillId="2" borderId="2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9" fillId="2" borderId="50" xfId="0" applyFont="1" applyFill="1" applyBorder="1" applyAlignment="1">
      <alignment horizontal="center" vertical="center"/>
    </xf>
    <xf numFmtId="0" fontId="9" fillId="2" borderId="5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5" fillId="2" borderId="10" xfId="1" applyFont="1" applyFill="1" applyBorder="1" applyAlignment="1" applyProtection="1">
      <alignment horizontal="center" vertical="center"/>
    </xf>
    <xf numFmtId="0" fontId="5" fillId="0" borderId="31" xfId="1" applyFont="1" applyBorder="1" applyAlignment="1" applyProtection="1">
      <alignment horizontal="center" vertical="center"/>
    </xf>
    <xf numFmtId="0" fontId="5" fillId="0" borderId="17" xfId="1" applyFont="1" applyBorder="1" applyAlignment="1" applyProtection="1">
      <alignment horizontal="center" vertical="center"/>
    </xf>
    <xf numFmtId="0" fontId="5" fillId="0" borderId="1" xfId="1" applyFont="1" applyBorder="1" applyAlignment="1" applyProtection="1">
      <alignment horizontal="center" vertical="center"/>
    </xf>
    <xf numFmtId="0" fontId="5" fillId="0" borderId="53" xfId="1" applyFont="1" applyBorder="1" applyAlignment="1" applyProtection="1">
      <alignment horizontal="center" vertical="center"/>
    </xf>
    <xf numFmtId="0" fontId="5" fillId="0" borderId="33" xfId="1" applyFont="1" applyBorder="1" applyAlignment="1" applyProtection="1">
      <alignment horizontal="center" vertical="center"/>
    </xf>
    <xf numFmtId="0" fontId="5" fillId="0" borderId="15" xfId="1" applyFont="1" applyBorder="1" applyAlignment="1" applyProtection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49" xfId="1" applyFont="1" applyBorder="1" applyAlignment="1" applyProtection="1">
      <alignment horizontal="center" vertical="center"/>
    </xf>
    <xf numFmtId="0" fontId="5" fillId="0" borderId="6" xfId="1" applyFont="1" applyBorder="1" applyAlignment="1" applyProtection="1">
      <alignment horizontal="center" vertical="center"/>
    </xf>
    <xf numFmtId="0" fontId="5" fillId="0" borderId="10" xfId="1" applyFont="1" applyBorder="1" applyAlignment="1" applyProtection="1">
      <alignment horizontal="center" vertical="center"/>
    </xf>
    <xf numFmtId="0" fontId="5" fillId="0" borderId="3" xfId="1" applyFont="1" applyBorder="1" applyAlignment="1" applyProtection="1">
      <alignment horizontal="center" vertical="center"/>
    </xf>
    <xf numFmtId="0" fontId="5" fillId="0" borderId="32" xfId="1" applyFont="1" applyBorder="1" applyAlignment="1" applyProtection="1">
      <alignment horizontal="center" vertical="center"/>
    </xf>
    <xf numFmtId="0" fontId="5" fillId="0" borderId="2" xfId="1" applyFont="1" applyBorder="1" applyAlignment="1" applyProtection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5" fillId="0" borderId="23" xfId="1" applyFont="1" applyBorder="1" applyAlignment="1" applyProtection="1">
      <alignment horizontal="center" vertical="center"/>
    </xf>
    <xf numFmtId="0" fontId="5" fillId="0" borderId="25" xfId="1" applyFont="1" applyBorder="1" applyAlignment="1" applyProtection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</xf>
    <xf numFmtId="0" fontId="5" fillId="0" borderId="0" xfId="1" applyFont="1" applyAlignment="1" applyProtection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4" fillId="0" borderId="0" xfId="0" applyFont="1"/>
    <xf numFmtId="0" fontId="9" fillId="2" borderId="20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5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/>
    </xf>
    <xf numFmtId="0" fontId="9" fillId="2" borderId="5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Continuous" vertical="center"/>
    </xf>
    <xf numFmtId="15" fontId="6" fillId="0" borderId="0" xfId="0" applyNumberFormat="1" applyFont="1" applyAlignment="1">
      <alignment horizontal="centerContinuous" vertical="center"/>
    </xf>
    <xf numFmtId="0" fontId="15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6" fillId="3" borderId="62" xfId="0" applyFont="1" applyFill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3" fillId="0" borderId="44" xfId="0" applyFont="1" applyBorder="1" applyAlignment="1">
      <alignment horizont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5" fillId="2" borderId="34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2" borderId="35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24" xfId="0" applyFont="1" applyBorder="1" applyAlignment="1">
      <alignment horizontal="center"/>
    </xf>
    <xf numFmtId="0" fontId="3" fillId="0" borderId="1" xfId="0" applyFont="1" applyBorder="1"/>
    <xf numFmtId="0" fontId="5" fillId="2" borderId="39" xfId="0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" xfId="0" applyFont="1" applyBorder="1"/>
    <xf numFmtId="0" fontId="8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2" borderId="38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6" fillId="0" borderId="40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5" fillId="0" borderId="6" xfId="0" applyFont="1" applyBorder="1"/>
    <xf numFmtId="0" fontId="5" fillId="0" borderId="6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41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5" fillId="0" borderId="10" xfId="0" applyFont="1" applyBorder="1"/>
    <xf numFmtId="0" fontId="5" fillId="0" borderId="10" xfId="0" applyFont="1" applyBorder="1" applyAlignment="1">
      <alignment horizontal="center"/>
    </xf>
    <xf numFmtId="0" fontId="5" fillId="0" borderId="31" xfId="0" applyFont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3" fillId="0" borderId="3" xfId="0" applyFont="1" applyBorder="1"/>
    <xf numFmtId="0" fontId="6" fillId="0" borderId="0" xfId="0" applyFont="1" applyAlignment="1">
      <alignment vertical="center"/>
    </xf>
    <xf numFmtId="0" fontId="3" fillId="0" borderId="2" xfId="0" applyFont="1" applyBorder="1"/>
    <xf numFmtId="0" fontId="3" fillId="0" borderId="6" xfId="0" applyFont="1" applyBorder="1"/>
    <xf numFmtId="0" fontId="8" fillId="0" borderId="6" xfId="0" applyFont="1" applyBorder="1" applyAlignment="1">
      <alignment horizontal="center" vertical="center"/>
    </xf>
    <xf numFmtId="0" fontId="8" fillId="0" borderId="6" xfId="0" applyFont="1" applyBorder="1"/>
    <xf numFmtId="0" fontId="8" fillId="0" borderId="6" xfId="0" applyFont="1" applyBorder="1" applyAlignment="1">
      <alignment horizontal="center"/>
    </xf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0" fontId="3" fillId="0" borderId="10" xfId="0" applyFont="1" applyBorder="1"/>
    <xf numFmtId="0" fontId="8" fillId="0" borderId="10" xfId="0" applyFont="1" applyBorder="1"/>
    <xf numFmtId="0" fontId="8" fillId="0" borderId="10" xfId="0" applyFont="1" applyBorder="1" applyAlignment="1">
      <alignment horizontal="center"/>
    </xf>
    <xf numFmtId="0" fontId="4" fillId="2" borderId="36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6" fillId="0" borderId="6" xfId="0" applyFont="1" applyBorder="1" applyAlignment="1">
      <alignment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2" borderId="66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6" fillId="0" borderId="59" xfId="0" applyFont="1" applyBorder="1" applyAlignment="1">
      <alignment vertical="center"/>
    </xf>
    <xf numFmtId="0" fontId="6" fillId="3" borderId="55" xfId="0" applyFont="1" applyFill="1" applyBorder="1" applyAlignment="1">
      <alignment vertical="center"/>
    </xf>
    <xf numFmtId="0" fontId="6" fillId="0" borderId="55" xfId="0" applyFont="1" applyBorder="1" applyAlignment="1">
      <alignment vertical="center"/>
    </xf>
    <xf numFmtId="0" fontId="6" fillId="0" borderId="60" xfId="0" applyFont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0" fontId="1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5" fillId="2" borderId="10" xfId="0" applyFont="1" applyFill="1" applyBorder="1" applyAlignment="1">
      <alignment horizontal="center"/>
    </xf>
    <xf numFmtId="0" fontId="3" fillId="0" borderId="67" xfId="0" applyFont="1" applyBorder="1" applyAlignment="1">
      <alignment horizontal="center"/>
    </xf>
    <xf numFmtId="0" fontId="3" fillId="0" borderId="68" xfId="0" applyFont="1" applyBorder="1" applyAlignment="1">
      <alignment horizontal="center"/>
    </xf>
    <xf numFmtId="0" fontId="5" fillId="0" borderId="26" xfId="1" applyFont="1" applyBorder="1" applyAlignment="1" applyProtection="1">
      <alignment horizontal="center" vertical="center"/>
    </xf>
    <xf numFmtId="0" fontId="5" fillId="0" borderId="31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8" fillId="0" borderId="24" xfId="0" applyFont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5" fillId="0" borderId="4" xfId="1" applyFont="1" applyBorder="1" applyAlignment="1" applyProtection="1">
      <alignment horizontal="center" vertical="center"/>
    </xf>
    <xf numFmtId="0" fontId="5" fillId="0" borderId="32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23" fillId="0" borderId="0" xfId="0" applyFont="1" applyAlignment="1">
      <alignment horizontal="left" vertical="center"/>
    </xf>
    <xf numFmtId="0" fontId="1" fillId="0" borderId="0" xfId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22" fillId="0" borderId="59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5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57" xfId="0" applyFont="1" applyFill="1" applyBorder="1" applyAlignment="1">
      <alignment horizontal="center" vertical="center" wrapText="1"/>
    </xf>
    <xf numFmtId="0" fontId="9" fillId="2" borderId="4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/>
    </xf>
    <xf numFmtId="0" fontId="5" fillId="2" borderId="25" xfId="1" applyFont="1" applyFill="1" applyBorder="1" applyAlignment="1">
      <alignment horizontal="center" vertical="center"/>
    </xf>
    <xf numFmtId="0" fontId="5" fillId="2" borderId="53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561975</xdr:colOff>
      <xdr:row>0</xdr:row>
      <xdr:rowOff>38100</xdr:rowOff>
    </xdr:from>
    <xdr:to>
      <xdr:col>11</xdr:col>
      <xdr:colOff>143259</xdr:colOff>
      <xdr:row>1</xdr:row>
      <xdr:rowOff>2287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38100"/>
          <a:ext cx="1438659" cy="554737"/>
        </a:xfrm>
        <a:prstGeom prst="rect">
          <a:avLst/>
        </a:prstGeom>
      </xdr:spPr>
    </xdr:pic>
    <xdr:clientData/>
  </xdr:twoCellAnchor>
  <xdr:twoCellAnchor editAs="oneCell">
    <xdr:from>
      <xdr:col>2</xdr:col>
      <xdr:colOff>866775</xdr:colOff>
      <xdr:row>0</xdr:row>
      <xdr:rowOff>0</xdr:rowOff>
    </xdr:from>
    <xdr:to>
      <xdr:col>2</xdr:col>
      <xdr:colOff>1390651</xdr:colOff>
      <xdr:row>0</xdr:row>
      <xdr:rowOff>581024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0"/>
          <a:ext cx="523876" cy="581024"/>
        </a:xfrm>
        <a:prstGeom prst="rect">
          <a:avLst/>
        </a:prstGeom>
      </xdr:spPr>
    </xdr:pic>
    <xdr:clientData/>
  </xdr:twoCellAnchor>
  <xdr:twoCellAnchor editAs="oneCell">
    <xdr:from>
      <xdr:col>13</xdr:col>
      <xdr:colOff>123825</xdr:colOff>
      <xdr:row>0</xdr:row>
      <xdr:rowOff>0</xdr:rowOff>
    </xdr:from>
    <xdr:to>
      <xdr:col>14</xdr:col>
      <xdr:colOff>285751</xdr:colOff>
      <xdr:row>0</xdr:row>
      <xdr:rowOff>581025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0"/>
          <a:ext cx="514351" cy="5810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1325880</xdr:colOff>
      <xdr:row>64</xdr:row>
      <xdr:rowOff>161290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2477750"/>
          <a:ext cx="1325880" cy="732790"/>
        </a:xfrm>
        <a:prstGeom prst="rect">
          <a:avLst/>
        </a:prstGeom>
      </xdr:spPr>
    </xdr:pic>
    <xdr:clientData/>
  </xdr:twoCellAnchor>
  <xdr:twoCellAnchor editAs="oneCell">
    <xdr:from>
      <xdr:col>11</xdr:col>
      <xdr:colOff>123825</xdr:colOff>
      <xdr:row>61</xdr:row>
      <xdr:rowOff>0</xdr:rowOff>
    </xdr:from>
    <xdr:to>
      <xdr:col>15</xdr:col>
      <xdr:colOff>310515</xdr:colOff>
      <xdr:row>64</xdr:row>
      <xdr:rowOff>220345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2477750"/>
          <a:ext cx="1586865" cy="7918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ictoryfreewifi.ml/ciso-files/VFW_Report_FEB-2024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victoryfreewifi.ml/ciso-files/VFW_Report_FEB-2024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F70B-F3B6-4F93-BA28-EECD6515E081}">
  <sheetPr codeName="Sheet1"/>
  <dimension ref="A1:S70"/>
  <sheetViews>
    <sheetView showGridLines="0" topLeftCell="A2" zoomScaleNormal="100" workbookViewId="0">
      <pane xSplit="1" ySplit="4" topLeftCell="B6" activePane="bottomRight" state="frozen"/>
      <selection activeCell="A2" sqref="A2"/>
      <selection pane="topRight" activeCell="B2" sqref="B2"/>
      <selection pane="bottomLeft" activeCell="A6" sqref="A6"/>
      <selection pane="bottomRight" activeCell="M42" sqref="M42"/>
    </sheetView>
  </sheetViews>
  <sheetFormatPr defaultColWidth="0" defaultRowHeight="18.75" x14ac:dyDescent="0.3"/>
  <cols>
    <col min="1" max="1" width="3.85546875" style="17" customWidth="1"/>
    <col min="2" max="2" width="5" style="27" customWidth="1"/>
    <col min="3" max="3" width="23.7109375" style="166" bestFit="1" customWidth="1"/>
    <col min="4" max="4" width="13.140625" style="27" bestFit="1" customWidth="1"/>
    <col min="5" max="5" width="0" style="27" hidden="1" customWidth="1"/>
    <col min="6" max="6" width="11.28515625" style="27" hidden="1" customWidth="1"/>
    <col min="7" max="7" width="5" style="27" bestFit="1" customWidth="1"/>
    <col min="8" max="8" width="4.28515625" style="27" bestFit="1" customWidth="1"/>
    <col min="9" max="9" width="0" style="27" hidden="1" customWidth="1"/>
    <col min="10" max="10" width="2.5703125" style="27" hidden="1" customWidth="1"/>
    <col min="11" max="11" width="5.42578125" style="27" bestFit="1" customWidth="1"/>
    <col min="12" max="12" width="5" style="27" bestFit="1" customWidth="1"/>
    <col min="13" max="13" width="5.5703125" style="27" bestFit="1" customWidth="1"/>
    <col min="14" max="14" width="5.28515625" style="27" bestFit="1" customWidth="1"/>
    <col min="15" max="15" width="5.140625" style="27" bestFit="1" customWidth="1"/>
    <col min="16" max="16" width="5.140625" style="27" customWidth="1"/>
    <col min="17" max="17" width="5" style="27" bestFit="1" customWidth="1"/>
    <col min="18" max="18" width="6.7109375" style="27" bestFit="1" customWidth="1"/>
    <col min="19" max="19" width="3.7109375" style="17" customWidth="1"/>
    <col min="20" max="16384" width="9.140625" style="17" hidden="1"/>
  </cols>
  <sheetData>
    <row r="1" spans="2:18" s="75" customFormat="1" ht="46.5" x14ac:dyDescent="0.7">
      <c r="B1" s="76"/>
      <c r="C1" s="228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</row>
    <row r="2" spans="2:18" s="60" customFormat="1" ht="21" x14ac:dyDescent="0.35">
      <c r="B2" s="73" t="s">
        <v>1419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</row>
    <row r="3" spans="2:18" ht="18" customHeight="1" thickBot="1" x14ac:dyDescent="0.35">
      <c r="B3" s="71" t="s">
        <v>1432</v>
      </c>
      <c r="C3" s="71"/>
      <c r="D3" s="72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2:18" ht="18" customHeight="1" x14ac:dyDescent="0.3">
      <c r="B4" s="278" t="s">
        <v>7</v>
      </c>
      <c r="C4" s="280" t="s">
        <v>0</v>
      </c>
      <c r="D4" s="286" t="s">
        <v>1</v>
      </c>
      <c r="E4" s="62"/>
      <c r="F4" s="23"/>
      <c r="G4" s="282" t="s">
        <v>2</v>
      </c>
      <c r="H4" s="282"/>
      <c r="I4" s="23"/>
      <c r="J4" s="64"/>
      <c r="K4" s="283" t="s">
        <v>1428</v>
      </c>
      <c r="L4" s="282"/>
      <c r="M4" s="282"/>
      <c r="N4" s="282"/>
      <c r="O4" s="282"/>
      <c r="P4" s="284"/>
      <c r="Q4" s="285"/>
      <c r="R4" s="66" t="s">
        <v>1378</v>
      </c>
    </row>
    <row r="5" spans="2:18" ht="18" customHeight="1" thickBot="1" x14ac:dyDescent="0.35">
      <c r="B5" s="279"/>
      <c r="C5" s="281"/>
      <c r="D5" s="287"/>
      <c r="E5" s="63"/>
      <c r="F5" s="25"/>
      <c r="G5" s="25" t="s">
        <v>139</v>
      </c>
      <c r="H5" s="25" t="s">
        <v>7</v>
      </c>
      <c r="I5" s="25"/>
      <c r="J5" s="65"/>
      <c r="K5" s="24" t="s">
        <v>4</v>
      </c>
      <c r="L5" s="25" t="s">
        <v>5</v>
      </c>
      <c r="M5" s="25" t="s">
        <v>6</v>
      </c>
      <c r="N5" s="25" t="s">
        <v>108</v>
      </c>
      <c r="O5" s="25" t="s">
        <v>451</v>
      </c>
      <c r="P5" s="65" t="s">
        <v>1412</v>
      </c>
      <c r="Q5" s="26" t="s">
        <v>169</v>
      </c>
      <c r="R5" s="67" t="s">
        <v>1381</v>
      </c>
    </row>
    <row r="6" spans="2:18" ht="18" customHeight="1" x14ac:dyDescent="0.3">
      <c r="B6" s="78" cm="1">
        <f t="array" ref="B6:R6">INSTALLATION!A47:Q47</f>
        <v>1</v>
      </c>
      <c r="C6" s="229" t="str">
        <v>AURORA</v>
      </c>
      <c r="D6" s="86">
        <v>44</v>
      </c>
      <c r="E6" s="82" t="str">
        <v>BARANGAYS</v>
      </c>
      <c r="F6" s="10" t="str">
        <v xml:space="preserve">LOS | NLOS </v>
      </c>
      <c r="G6" s="10">
        <v>37</v>
      </c>
      <c r="H6" s="10">
        <v>7</v>
      </c>
      <c r="I6" s="10" t="str">
        <v>INSTALLATIONS</v>
      </c>
      <c r="J6" s="90">
        <v>0</v>
      </c>
      <c r="K6" s="99">
        <v>25</v>
      </c>
      <c r="L6" s="42">
        <v>2</v>
      </c>
      <c r="M6" s="42">
        <v>2</v>
      </c>
      <c r="N6" s="42">
        <v>0</v>
      </c>
      <c r="O6" s="42">
        <v>3</v>
      </c>
      <c r="P6" s="260">
        <v>1</v>
      </c>
      <c r="Q6" s="100">
        <v>0</v>
      </c>
      <c r="R6" s="95">
        <v>25</v>
      </c>
    </row>
    <row r="7" spans="2:18" ht="18" customHeight="1" x14ac:dyDescent="0.3">
      <c r="B7" s="79" cm="1">
        <f t="array" ref="B7:R7">INSTALLATION!A76:Q76</f>
        <v>2</v>
      </c>
      <c r="C7" s="230" t="str">
        <v>BAYOG</v>
      </c>
      <c r="D7" s="87">
        <v>28</v>
      </c>
      <c r="E7" s="83" t="str">
        <v>BARANGAYS</v>
      </c>
      <c r="F7" s="68" t="str">
        <v xml:space="preserve">LOS | NLOS </v>
      </c>
      <c r="G7" s="68">
        <v>0</v>
      </c>
      <c r="H7" s="68">
        <v>28</v>
      </c>
      <c r="I7" s="68" t="str">
        <v>INSTALLATIONS</v>
      </c>
      <c r="J7" s="91">
        <v>0</v>
      </c>
      <c r="K7" s="101">
        <v>0</v>
      </c>
      <c r="L7" s="68">
        <v>0</v>
      </c>
      <c r="M7" s="68">
        <v>0</v>
      </c>
      <c r="N7" s="68">
        <v>0</v>
      </c>
      <c r="O7" s="68">
        <v>0</v>
      </c>
      <c r="P7" s="91">
        <v>0</v>
      </c>
      <c r="Q7" s="69">
        <v>0</v>
      </c>
      <c r="R7" s="96">
        <v>0</v>
      </c>
    </row>
    <row r="8" spans="2:18" ht="18" customHeight="1" x14ac:dyDescent="0.3">
      <c r="B8" s="79" cm="1">
        <f t="array" ref="B8:R8">INSTALLATION!A101:Q101</f>
        <v>3</v>
      </c>
      <c r="C8" s="231" t="str">
        <v>DIMATALING</v>
      </c>
      <c r="D8" s="88">
        <v>24</v>
      </c>
      <c r="E8" s="84" t="str">
        <v>BARANGAYS</v>
      </c>
      <c r="F8" s="11" t="str">
        <v xml:space="preserve">LOS | NLOS </v>
      </c>
      <c r="G8" s="11">
        <v>23</v>
      </c>
      <c r="H8" s="11">
        <v>1</v>
      </c>
      <c r="I8" s="11" t="str">
        <v>INSTALLATIONS</v>
      </c>
      <c r="J8" s="92">
        <v>0</v>
      </c>
      <c r="K8" s="102">
        <v>12</v>
      </c>
      <c r="L8" s="11">
        <v>1</v>
      </c>
      <c r="M8" s="11">
        <v>1</v>
      </c>
      <c r="N8" s="11">
        <v>0</v>
      </c>
      <c r="O8" s="11">
        <v>3</v>
      </c>
      <c r="P8" s="92">
        <v>0</v>
      </c>
      <c r="Q8" s="28">
        <v>0</v>
      </c>
      <c r="R8" s="97">
        <v>12</v>
      </c>
    </row>
    <row r="9" spans="2:18" ht="18" customHeight="1" x14ac:dyDescent="0.3">
      <c r="B9" s="79" cm="1">
        <f t="array" ref="B9:R9">INSTALLATION!A132:Q132</f>
        <v>4</v>
      </c>
      <c r="C9" s="230" t="str">
        <v>DINAS</v>
      </c>
      <c r="D9" s="87">
        <v>30</v>
      </c>
      <c r="E9" s="83" t="str">
        <v>BARANGAYS</v>
      </c>
      <c r="F9" s="68" t="str">
        <v xml:space="preserve">LOS | NLOS </v>
      </c>
      <c r="G9" s="68">
        <v>28</v>
      </c>
      <c r="H9" s="68">
        <v>2</v>
      </c>
      <c r="I9" s="68" t="str">
        <v>INSTALLATIONS</v>
      </c>
      <c r="J9" s="91">
        <v>0</v>
      </c>
      <c r="K9" s="101">
        <v>19</v>
      </c>
      <c r="L9" s="68">
        <v>6</v>
      </c>
      <c r="M9" s="68">
        <v>7</v>
      </c>
      <c r="N9" s="68">
        <v>1</v>
      </c>
      <c r="O9" s="68">
        <v>1</v>
      </c>
      <c r="P9" s="91">
        <v>0</v>
      </c>
      <c r="Q9" s="69">
        <v>2</v>
      </c>
      <c r="R9" s="96">
        <v>19</v>
      </c>
    </row>
    <row r="10" spans="2:18" ht="18" customHeight="1" x14ac:dyDescent="0.3">
      <c r="B10" s="79" cm="1">
        <f t="array" ref="B10:R10">INSTALLATION!A163:Q163</f>
        <v>5</v>
      </c>
      <c r="C10" s="231" t="str">
        <v>DUMALINAO</v>
      </c>
      <c r="D10" s="88">
        <v>30</v>
      </c>
      <c r="E10" s="84" t="str">
        <v>BARANGAYS</v>
      </c>
      <c r="F10" s="11" t="str">
        <v xml:space="preserve">LOS | NLOS </v>
      </c>
      <c r="G10" s="11">
        <v>26</v>
      </c>
      <c r="H10" s="11">
        <v>4</v>
      </c>
      <c r="I10" s="11" t="str">
        <v>INSTALLATIONS</v>
      </c>
      <c r="J10" s="92">
        <v>0</v>
      </c>
      <c r="K10" s="102">
        <v>24</v>
      </c>
      <c r="L10" s="11">
        <v>7</v>
      </c>
      <c r="M10" s="11">
        <v>4</v>
      </c>
      <c r="N10" s="11">
        <v>1</v>
      </c>
      <c r="O10" s="11">
        <v>0</v>
      </c>
      <c r="P10" s="92">
        <v>0</v>
      </c>
      <c r="Q10" s="28">
        <v>2</v>
      </c>
      <c r="R10" s="97">
        <v>24</v>
      </c>
    </row>
    <row r="11" spans="2:18" ht="18" customHeight="1" x14ac:dyDescent="0.3">
      <c r="B11" s="79" cm="1">
        <f t="array" ref="B11:R11">INSTALLATION!A208:Q208</f>
        <v>6</v>
      </c>
      <c r="C11" s="230" t="str">
        <v>DUMINGAG</v>
      </c>
      <c r="D11" s="87">
        <v>44</v>
      </c>
      <c r="E11" s="83" t="str">
        <v>BARANGAYS</v>
      </c>
      <c r="F11" s="68" t="str">
        <v xml:space="preserve">LOS | NLOS </v>
      </c>
      <c r="G11" s="68">
        <v>32</v>
      </c>
      <c r="H11" s="68">
        <v>12</v>
      </c>
      <c r="I11" s="68" t="str">
        <v>INSTALLATIONS</v>
      </c>
      <c r="J11" s="91">
        <v>0</v>
      </c>
      <c r="K11" s="101">
        <v>15</v>
      </c>
      <c r="L11" s="68">
        <v>0</v>
      </c>
      <c r="M11" s="68">
        <v>0</v>
      </c>
      <c r="N11" s="68">
        <v>0</v>
      </c>
      <c r="O11" s="68">
        <v>0</v>
      </c>
      <c r="P11" s="91">
        <v>0</v>
      </c>
      <c r="Q11" s="69">
        <v>0</v>
      </c>
      <c r="R11" s="96">
        <v>15</v>
      </c>
    </row>
    <row r="12" spans="2:18" ht="18" customHeight="1" x14ac:dyDescent="0.3">
      <c r="B12" s="79" cm="1">
        <f t="array" ref="B12:R12">INSTALLATION!A226:Q226</f>
        <v>7</v>
      </c>
      <c r="C12" s="231" t="str">
        <v>GUIPOS</v>
      </c>
      <c r="D12" s="88">
        <v>17</v>
      </c>
      <c r="E12" s="84" t="str">
        <v>BARANGAYS</v>
      </c>
      <c r="F12" s="11" t="str">
        <v xml:space="preserve">LOS | NLOS </v>
      </c>
      <c r="G12" s="11">
        <v>13</v>
      </c>
      <c r="H12" s="11">
        <v>4</v>
      </c>
      <c r="I12" s="11" t="str">
        <v>INSTALLATIONS</v>
      </c>
      <c r="J12" s="92">
        <v>0</v>
      </c>
      <c r="K12" s="102">
        <v>12</v>
      </c>
      <c r="L12" s="11">
        <v>1</v>
      </c>
      <c r="M12" s="11">
        <v>3</v>
      </c>
      <c r="N12" s="11">
        <v>0</v>
      </c>
      <c r="O12" s="11">
        <v>2</v>
      </c>
      <c r="P12" s="92">
        <v>0</v>
      </c>
      <c r="Q12" s="28">
        <v>2</v>
      </c>
      <c r="R12" s="97">
        <v>13</v>
      </c>
    </row>
    <row r="13" spans="2:18" ht="18" customHeight="1" x14ac:dyDescent="0.3">
      <c r="B13" s="79" cm="1">
        <f t="array" ref="B13:R13">INSTALLATION!A241:Q241</f>
        <v>8</v>
      </c>
      <c r="C13" s="230" t="str">
        <v>JOSEFINA</v>
      </c>
      <c r="D13" s="87">
        <v>14</v>
      </c>
      <c r="E13" s="83" t="str">
        <v>BARANGAYS</v>
      </c>
      <c r="F13" s="68" t="str">
        <v xml:space="preserve">LOS | NLOS </v>
      </c>
      <c r="G13" s="68">
        <v>11</v>
      </c>
      <c r="H13" s="68">
        <v>3</v>
      </c>
      <c r="I13" s="68" t="str">
        <v>INSTALLATIONS</v>
      </c>
      <c r="J13" s="91">
        <v>0</v>
      </c>
      <c r="K13" s="101">
        <v>3</v>
      </c>
      <c r="L13" s="68">
        <v>0</v>
      </c>
      <c r="M13" s="68">
        <v>0</v>
      </c>
      <c r="N13" s="68">
        <v>0</v>
      </c>
      <c r="O13" s="68">
        <v>1</v>
      </c>
      <c r="P13" s="91">
        <v>1</v>
      </c>
      <c r="Q13" s="69">
        <v>0</v>
      </c>
      <c r="R13" s="96">
        <v>3</v>
      </c>
    </row>
    <row r="14" spans="2:18" ht="18" customHeight="1" x14ac:dyDescent="0.3">
      <c r="B14" s="79" cm="1">
        <f t="array" ref="B14:R14">INSTALLATION!A260:Q260</f>
        <v>9</v>
      </c>
      <c r="C14" s="231" t="str">
        <v>KUMALARANG</v>
      </c>
      <c r="D14" s="88">
        <v>18</v>
      </c>
      <c r="E14" s="84" t="str">
        <v>BARANGAYS</v>
      </c>
      <c r="F14" s="11" t="str">
        <v xml:space="preserve">LOS | NLOS </v>
      </c>
      <c r="G14" s="11">
        <v>10</v>
      </c>
      <c r="H14" s="11">
        <v>8</v>
      </c>
      <c r="I14" s="11" t="str">
        <v>INSTALLATIONS</v>
      </c>
      <c r="J14" s="92">
        <v>0</v>
      </c>
      <c r="K14" s="102">
        <v>6</v>
      </c>
      <c r="L14" s="11">
        <v>1</v>
      </c>
      <c r="M14" s="11">
        <v>0</v>
      </c>
      <c r="N14" s="11">
        <v>0</v>
      </c>
      <c r="O14" s="11">
        <v>3</v>
      </c>
      <c r="P14" s="92">
        <v>1</v>
      </c>
      <c r="Q14" s="28">
        <v>1</v>
      </c>
      <c r="R14" s="97">
        <v>8</v>
      </c>
    </row>
    <row r="15" spans="2:18" ht="18" customHeight="1" x14ac:dyDescent="0.3">
      <c r="B15" s="79" cm="1">
        <f t="array" ref="B15:R15">INSTALLATION!A286:Q286</f>
        <v>10</v>
      </c>
      <c r="C15" s="230" t="str">
        <v>LABANGAN</v>
      </c>
      <c r="D15" s="87">
        <v>25</v>
      </c>
      <c r="E15" s="83" t="str">
        <v>BARANGAYS</v>
      </c>
      <c r="F15" s="68" t="str">
        <v xml:space="preserve">LOS | NLOS </v>
      </c>
      <c r="G15" s="68">
        <v>21</v>
      </c>
      <c r="H15" s="68">
        <v>4</v>
      </c>
      <c r="I15" s="68" t="str">
        <v>INSTALLATIONS</v>
      </c>
      <c r="J15" s="91">
        <v>0</v>
      </c>
      <c r="K15" s="101">
        <v>20</v>
      </c>
      <c r="L15" s="68">
        <v>5</v>
      </c>
      <c r="M15" s="68">
        <v>0</v>
      </c>
      <c r="N15" s="68">
        <v>1</v>
      </c>
      <c r="O15" s="68">
        <v>1</v>
      </c>
      <c r="P15" s="91">
        <v>0</v>
      </c>
      <c r="Q15" s="69">
        <v>0</v>
      </c>
      <c r="R15" s="96">
        <v>20</v>
      </c>
    </row>
    <row r="16" spans="2:18" ht="18" customHeight="1" x14ac:dyDescent="0.3">
      <c r="B16" s="79" cm="1">
        <f t="array" ref="B16:R16">INSTALLATION!A301:Q301</f>
        <v>11</v>
      </c>
      <c r="C16" s="231" t="str">
        <v>LAKEWOOD</v>
      </c>
      <c r="D16" s="88">
        <v>14</v>
      </c>
      <c r="E16" s="84" t="str">
        <v>BARANGAYS</v>
      </c>
      <c r="F16" s="11" t="str">
        <v xml:space="preserve">LOS | NLOS </v>
      </c>
      <c r="G16" s="11">
        <v>4</v>
      </c>
      <c r="H16" s="11">
        <v>10</v>
      </c>
      <c r="I16" s="11" t="str">
        <v>INSTALLATIONS</v>
      </c>
      <c r="J16" s="92">
        <v>0</v>
      </c>
      <c r="K16" s="102">
        <v>1</v>
      </c>
      <c r="L16" s="11">
        <v>0</v>
      </c>
      <c r="M16" s="11">
        <v>1</v>
      </c>
      <c r="N16" s="11">
        <v>0</v>
      </c>
      <c r="O16" s="11">
        <v>1</v>
      </c>
      <c r="P16" s="92">
        <v>0</v>
      </c>
      <c r="Q16" s="28">
        <v>1</v>
      </c>
      <c r="R16" s="97">
        <v>2</v>
      </c>
    </row>
    <row r="17" spans="2:18" ht="18" customHeight="1" x14ac:dyDescent="0.3">
      <c r="B17" s="79" cm="1">
        <f t="array" ref="B17:R17">INSTALLATION!A328:Q328</f>
        <v>12</v>
      </c>
      <c r="C17" s="230" t="str">
        <v>LAPUYAN</v>
      </c>
      <c r="D17" s="87">
        <v>26</v>
      </c>
      <c r="E17" s="83" t="str">
        <v>BARANGAYS</v>
      </c>
      <c r="F17" s="68" t="str">
        <v xml:space="preserve">LOS | NLOS </v>
      </c>
      <c r="G17" s="68">
        <v>19</v>
      </c>
      <c r="H17" s="68">
        <v>7</v>
      </c>
      <c r="I17" s="68" t="str">
        <v>INSTALLATIONS</v>
      </c>
      <c r="J17" s="91">
        <v>0</v>
      </c>
      <c r="K17" s="101">
        <v>0</v>
      </c>
      <c r="L17" s="68">
        <v>1</v>
      </c>
      <c r="M17" s="68">
        <v>0</v>
      </c>
      <c r="N17" s="68">
        <v>0</v>
      </c>
      <c r="O17" s="68">
        <v>1</v>
      </c>
      <c r="P17" s="91">
        <v>0</v>
      </c>
      <c r="Q17" s="69">
        <v>0</v>
      </c>
      <c r="R17" s="96">
        <v>1</v>
      </c>
    </row>
    <row r="18" spans="2:18" ht="18" customHeight="1" x14ac:dyDescent="0.3">
      <c r="B18" s="79" cm="1">
        <f t="array" ref="B18:R18">INSTALLATION!A358:Q358</f>
        <v>13</v>
      </c>
      <c r="C18" s="231" t="str">
        <v>MAHAYAG</v>
      </c>
      <c r="D18" s="88">
        <v>29</v>
      </c>
      <c r="E18" s="84" t="str">
        <v>BARANGAYS</v>
      </c>
      <c r="F18" s="11" t="str">
        <v xml:space="preserve">LOS | NLOS </v>
      </c>
      <c r="G18" s="11">
        <v>25</v>
      </c>
      <c r="H18" s="11">
        <v>4</v>
      </c>
      <c r="I18" s="11" t="str">
        <v>INSTALLATIONS</v>
      </c>
      <c r="J18" s="92">
        <v>0</v>
      </c>
      <c r="K18" s="102">
        <v>14</v>
      </c>
      <c r="L18" s="11">
        <v>1</v>
      </c>
      <c r="M18" s="11">
        <v>0</v>
      </c>
      <c r="N18" s="11">
        <v>0</v>
      </c>
      <c r="O18" s="11">
        <v>1</v>
      </c>
      <c r="P18" s="92">
        <v>0</v>
      </c>
      <c r="Q18" s="28">
        <v>0</v>
      </c>
      <c r="R18" s="97">
        <v>15</v>
      </c>
    </row>
    <row r="19" spans="2:18" ht="18" customHeight="1" x14ac:dyDescent="0.3">
      <c r="B19" s="79" cm="1">
        <f t="array" ref="B19:R19">INSTALLATION!A376:Q376</f>
        <v>14</v>
      </c>
      <c r="C19" s="230" t="str">
        <v>MARGOSATUBIG</v>
      </c>
      <c r="D19" s="87">
        <v>17</v>
      </c>
      <c r="E19" s="83" t="str">
        <v>BARANGAYS</v>
      </c>
      <c r="F19" s="68" t="str">
        <v xml:space="preserve">LOS | NLOS </v>
      </c>
      <c r="G19" s="68">
        <v>13</v>
      </c>
      <c r="H19" s="68">
        <v>4</v>
      </c>
      <c r="I19" s="68" t="str">
        <v>INSTALLATIONS</v>
      </c>
      <c r="J19" s="91">
        <v>0</v>
      </c>
      <c r="K19" s="101">
        <v>4</v>
      </c>
      <c r="L19" s="68">
        <v>1</v>
      </c>
      <c r="M19" s="68">
        <v>0</v>
      </c>
      <c r="N19" s="68">
        <v>0</v>
      </c>
      <c r="O19" s="68">
        <v>1</v>
      </c>
      <c r="P19" s="91">
        <v>0</v>
      </c>
      <c r="Q19" s="69">
        <v>0</v>
      </c>
      <c r="R19" s="96">
        <v>4</v>
      </c>
    </row>
    <row r="20" spans="2:18" ht="18" customHeight="1" x14ac:dyDescent="0.3">
      <c r="B20" s="79" cm="1">
        <f t="array" ref="B20:R20">INSTALLATION!A410:Q410</f>
        <v>15</v>
      </c>
      <c r="C20" s="231" t="str">
        <v>MIDSALIP</v>
      </c>
      <c r="D20" s="88">
        <v>33</v>
      </c>
      <c r="E20" s="84" t="str">
        <v>BARANGAYS</v>
      </c>
      <c r="F20" s="11" t="str">
        <v xml:space="preserve">LOS | NLOS </v>
      </c>
      <c r="G20" s="11">
        <v>18</v>
      </c>
      <c r="H20" s="11">
        <v>15</v>
      </c>
      <c r="I20" s="11" t="str">
        <v>INSTALLATIONS</v>
      </c>
      <c r="J20" s="92">
        <v>0</v>
      </c>
      <c r="K20" s="102">
        <v>16</v>
      </c>
      <c r="L20" s="11">
        <v>1</v>
      </c>
      <c r="M20" s="11">
        <v>1</v>
      </c>
      <c r="N20" s="11">
        <v>0</v>
      </c>
      <c r="O20" s="11">
        <v>1</v>
      </c>
      <c r="P20" s="92">
        <v>0</v>
      </c>
      <c r="Q20" s="28">
        <v>1</v>
      </c>
      <c r="R20" s="97">
        <v>16</v>
      </c>
    </row>
    <row r="21" spans="2:18" ht="18" customHeight="1" x14ac:dyDescent="0.3">
      <c r="B21" s="79" cm="1">
        <f t="array" ref="B21:R21">INSTALLATION!A436:Q436</f>
        <v>16</v>
      </c>
      <c r="C21" s="230" t="str">
        <v>MOLAVE</v>
      </c>
      <c r="D21" s="87">
        <v>25</v>
      </c>
      <c r="E21" s="83" t="str">
        <v>BARANGAYS</v>
      </c>
      <c r="F21" s="68" t="str">
        <v xml:space="preserve">LOS | NLOS </v>
      </c>
      <c r="G21" s="68">
        <v>23</v>
      </c>
      <c r="H21" s="68">
        <v>2</v>
      </c>
      <c r="I21" s="68" t="str">
        <v>INSTALLATIONS</v>
      </c>
      <c r="J21" s="91">
        <v>0</v>
      </c>
      <c r="K21" s="101">
        <v>20</v>
      </c>
      <c r="L21" s="68">
        <v>2</v>
      </c>
      <c r="M21" s="68">
        <v>0</v>
      </c>
      <c r="N21" s="68">
        <v>1</v>
      </c>
      <c r="O21" s="68">
        <v>3</v>
      </c>
      <c r="P21" s="91">
        <v>0</v>
      </c>
      <c r="Q21" s="69">
        <v>1</v>
      </c>
      <c r="R21" s="96">
        <v>20</v>
      </c>
    </row>
    <row r="22" spans="2:18" ht="18" customHeight="1" x14ac:dyDescent="0.3">
      <c r="B22" s="79" cm="1">
        <f t="array" ref="B22:R22">INSTALLATION!A491:Q491</f>
        <v>17</v>
      </c>
      <c r="C22" s="231" t="str">
        <v>PAGADIAN</v>
      </c>
      <c r="D22" s="88">
        <v>54</v>
      </c>
      <c r="E22" s="84" t="str">
        <v>BARANGAYS</v>
      </c>
      <c r="F22" s="11" t="str">
        <v xml:space="preserve">LOS | NLOS </v>
      </c>
      <c r="G22" s="11">
        <v>51</v>
      </c>
      <c r="H22" s="11">
        <v>3</v>
      </c>
      <c r="I22" s="11" t="str">
        <v>INSTALLATIONS</v>
      </c>
      <c r="J22" s="92">
        <v>0</v>
      </c>
      <c r="K22" s="102">
        <v>49</v>
      </c>
      <c r="L22" s="11">
        <v>16</v>
      </c>
      <c r="M22" s="11">
        <v>7</v>
      </c>
      <c r="N22" s="11">
        <v>1</v>
      </c>
      <c r="O22" s="11">
        <v>10</v>
      </c>
      <c r="P22" s="92">
        <v>0</v>
      </c>
      <c r="Q22" s="28">
        <v>16</v>
      </c>
      <c r="R22" s="97">
        <v>50</v>
      </c>
    </row>
    <row r="23" spans="2:18" ht="18" customHeight="1" x14ac:dyDescent="0.3">
      <c r="B23" s="79" cm="1">
        <f t="array" ref="B23:R23">INSTALLATION!A507:Q507</f>
        <v>18</v>
      </c>
      <c r="C23" s="230" t="str">
        <v>PITOGO</v>
      </c>
      <c r="D23" s="87">
        <v>15</v>
      </c>
      <c r="E23" s="83" t="str">
        <v>BARANGAYS</v>
      </c>
      <c r="F23" s="68" t="str">
        <v xml:space="preserve">LOS | NLOS </v>
      </c>
      <c r="G23" s="68">
        <v>10</v>
      </c>
      <c r="H23" s="68">
        <v>5</v>
      </c>
      <c r="I23" s="68" t="str">
        <v>INSTALLATIONS</v>
      </c>
      <c r="J23" s="91">
        <v>0</v>
      </c>
      <c r="K23" s="101">
        <v>8</v>
      </c>
      <c r="L23" s="68">
        <v>2</v>
      </c>
      <c r="M23" s="68">
        <v>0</v>
      </c>
      <c r="N23" s="68">
        <v>0</v>
      </c>
      <c r="O23" s="68">
        <v>2</v>
      </c>
      <c r="P23" s="91">
        <v>0</v>
      </c>
      <c r="Q23" s="69">
        <v>1</v>
      </c>
      <c r="R23" s="96">
        <v>15</v>
      </c>
    </row>
    <row r="24" spans="2:18" ht="18" customHeight="1" x14ac:dyDescent="0.3">
      <c r="B24" s="79" cm="1">
        <f t="array" ref="B24:R24">INSTALLATION!A535:Q535</f>
        <v>19</v>
      </c>
      <c r="C24" s="231" t="str">
        <v>RAMON MAGSAYSAY</v>
      </c>
      <c r="D24" s="88">
        <v>27</v>
      </c>
      <c r="E24" s="84" t="str">
        <v>BARANGAYS</v>
      </c>
      <c r="F24" s="11" t="str">
        <v xml:space="preserve">LOS | NLOS </v>
      </c>
      <c r="G24" s="11">
        <v>25</v>
      </c>
      <c r="H24" s="11">
        <v>2</v>
      </c>
      <c r="I24" s="11" t="str">
        <v>INSTALLATIONS</v>
      </c>
      <c r="J24" s="92">
        <v>0</v>
      </c>
      <c r="K24" s="102">
        <v>18</v>
      </c>
      <c r="L24" s="11">
        <v>7</v>
      </c>
      <c r="M24" s="11">
        <v>1</v>
      </c>
      <c r="N24" s="11">
        <v>0</v>
      </c>
      <c r="O24" s="11">
        <v>0</v>
      </c>
      <c r="P24" s="92">
        <v>0</v>
      </c>
      <c r="Q24" s="28">
        <v>0</v>
      </c>
      <c r="R24" s="97">
        <v>19</v>
      </c>
    </row>
    <row r="25" spans="2:18" ht="18" customHeight="1" x14ac:dyDescent="0.3">
      <c r="B25" s="79" cm="1">
        <f t="array" ref="B25:R25">INSTALLATION!A554:Q554</f>
        <v>20</v>
      </c>
      <c r="C25" s="230" t="str">
        <v>SAN MIGUEL</v>
      </c>
      <c r="D25" s="87">
        <v>18</v>
      </c>
      <c r="E25" s="83" t="str">
        <v>BARANGAYS</v>
      </c>
      <c r="F25" s="68" t="str">
        <v xml:space="preserve">LOS | NLOS </v>
      </c>
      <c r="G25" s="68">
        <v>13</v>
      </c>
      <c r="H25" s="68">
        <v>5</v>
      </c>
      <c r="I25" s="68" t="str">
        <v>INSTALLATIONS</v>
      </c>
      <c r="J25" s="91">
        <v>0</v>
      </c>
      <c r="K25" s="101">
        <v>11</v>
      </c>
      <c r="L25" s="68">
        <v>5</v>
      </c>
      <c r="M25" s="68">
        <v>2</v>
      </c>
      <c r="N25" s="68">
        <v>0</v>
      </c>
      <c r="O25" s="68">
        <v>1</v>
      </c>
      <c r="P25" s="91">
        <v>0</v>
      </c>
      <c r="Q25" s="69">
        <v>1</v>
      </c>
      <c r="R25" s="96">
        <v>12</v>
      </c>
    </row>
    <row r="26" spans="2:18" ht="18" customHeight="1" x14ac:dyDescent="0.3">
      <c r="B26" s="79" cm="1">
        <f t="array" ref="B26:R26">INSTALLATION!A583:Q583</f>
        <v>21</v>
      </c>
      <c r="C26" s="231" t="str">
        <v>SAN PABLO</v>
      </c>
      <c r="D26" s="88">
        <v>28</v>
      </c>
      <c r="E26" s="84" t="str">
        <v>BARANGAYS</v>
      </c>
      <c r="F26" s="11" t="str">
        <v xml:space="preserve">LOS | NLOS </v>
      </c>
      <c r="G26" s="11">
        <v>17</v>
      </c>
      <c r="H26" s="11">
        <v>11</v>
      </c>
      <c r="I26" s="11" t="str">
        <v>INSTALLATIONS</v>
      </c>
      <c r="J26" s="92">
        <v>0</v>
      </c>
      <c r="K26" s="102">
        <v>14</v>
      </c>
      <c r="L26" s="11">
        <v>1</v>
      </c>
      <c r="M26" s="11">
        <v>0</v>
      </c>
      <c r="N26" s="11">
        <v>0</v>
      </c>
      <c r="O26" s="11">
        <v>1</v>
      </c>
      <c r="P26" s="92">
        <v>0</v>
      </c>
      <c r="Q26" s="28">
        <v>1</v>
      </c>
      <c r="R26" s="97">
        <v>14</v>
      </c>
    </row>
    <row r="27" spans="2:18" ht="18" customHeight="1" x14ac:dyDescent="0.3">
      <c r="B27" s="79" cm="1">
        <f t="array" ref="B27:R27">INSTALLATION!A602:Q602</f>
        <v>22</v>
      </c>
      <c r="C27" s="230" t="str">
        <v>SOMINOT</v>
      </c>
      <c r="D27" s="87">
        <v>18</v>
      </c>
      <c r="E27" s="83" t="str">
        <v>BARANGAYS</v>
      </c>
      <c r="F27" s="68" t="str">
        <v xml:space="preserve">LOS | NLOS </v>
      </c>
      <c r="G27" s="68">
        <v>16</v>
      </c>
      <c r="H27" s="68">
        <v>2</v>
      </c>
      <c r="I27" s="68" t="str">
        <v>INSTALLATIONS</v>
      </c>
      <c r="J27" s="91">
        <v>0</v>
      </c>
      <c r="K27" s="101">
        <v>9</v>
      </c>
      <c r="L27" s="68">
        <v>0</v>
      </c>
      <c r="M27" s="68">
        <v>0</v>
      </c>
      <c r="N27" s="68">
        <v>0</v>
      </c>
      <c r="O27" s="68">
        <v>0</v>
      </c>
      <c r="P27" s="91">
        <v>0</v>
      </c>
      <c r="Q27" s="69">
        <v>0</v>
      </c>
      <c r="R27" s="96">
        <v>9</v>
      </c>
    </row>
    <row r="28" spans="2:18" ht="18" customHeight="1" x14ac:dyDescent="0.3">
      <c r="B28" s="79" cm="1">
        <f t="array" ref="B28:R28">INSTALLATION!A618:Q618</f>
        <v>23</v>
      </c>
      <c r="C28" s="231" t="str">
        <v>TABINA</v>
      </c>
      <c r="D28" s="88">
        <v>15</v>
      </c>
      <c r="E28" s="84" t="str">
        <v>BARANGAYS</v>
      </c>
      <c r="F28" s="11" t="str">
        <v xml:space="preserve">LOS | NLOS </v>
      </c>
      <c r="G28" s="11">
        <v>11</v>
      </c>
      <c r="H28" s="11">
        <v>4</v>
      </c>
      <c r="I28" s="11" t="str">
        <v>INSTALLATIONS</v>
      </c>
      <c r="J28" s="92">
        <v>0</v>
      </c>
      <c r="K28" s="102">
        <v>9</v>
      </c>
      <c r="L28" s="11">
        <v>3</v>
      </c>
      <c r="M28" s="11">
        <v>1</v>
      </c>
      <c r="N28" s="11">
        <v>0</v>
      </c>
      <c r="O28" s="11">
        <v>5</v>
      </c>
      <c r="P28" s="92">
        <v>0</v>
      </c>
      <c r="Q28" s="28">
        <v>4</v>
      </c>
      <c r="R28" s="97">
        <v>9</v>
      </c>
    </row>
    <row r="29" spans="2:18" ht="18" customHeight="1" x14ac:dyDescent="0.3">
      <c r="B29" s="79" cm="1">
        <f t="array" ref="B29:R29">INSTALLATION!A650:Q650</f>
        <v>24</v>
      </c>
      <c r="C29" s="230" t="str">
        <v>TAMBULIG</v>
      </c>
      <c r="D29" s="87">
        <v>31</v>
      </c>
      <c r="E29" s="83" t="str">
        <v>BARANGAYS</v>
      </c>
      <c r="F29" s="68" t="str">
        <v xml:space="preserve">LOS | NLOS </v>
      </c>
      <c r="G29" s="68">
        <v>31</v>
      </c>
      <c r="H29" s="68">
        <v>0</v>
      </c>
      <c r="I29" s="68" t="str">
        <v>INSTALLATIONS</v>
      </c>
      <c r="J29" s="91">
        <v>0</v>
      </c>
      <c r="K29" s="101">
        <v>21</v>
      </c>
      <c r="L29" s="68">
        <v>5</v>
      </c>
      <c r="M29" s="68">
        <v>1</v>
      </c>
      <c r="N29" s="68">
        <v>0</v>
      </c>
      <c r="O29" s="68">
        <v>0</v>
      </c>
      <c r="P29" s="91">
        <v>1</v>
      </c>
      <c r="Q29" s="69">
        <v>0</v>
      </c>
      <c r="R29" s="96">
        <v>22</v>
      </c>
    </row>
    <row r="30" spans="2:18" ht="18" customHeight="1" x14ac:dyDescent="0.3">
      <c r="B30" s="79" cm="1">
        <f t="array" ref="B30:R30">INSTALLATION!A669:Q669</f>
        <v>25</v>
      </c>
      <c r="C30" s="231" t="str">
        <v>TIGBAO</v>
      </c>
      <c r="D30" s="88">
        <v>18</v>
      </c>
      <c r="E30" s="84" t="str">
        <v>BARANGAYS</v>
      </c>
      <c r="F30" s="11" t="str">
        <v xml:space="preserve">LOS | NLOS </v>
      </c>
      <c r="G30" s="11">
        <v>12</v>
      </c>
      <c r="H30" s="11">
        <v>6</v>
      </c>
      <c r="I30" s="11" t="str">
        <v>INSTALLATIONS</v>
      </c>
      <c r="J30" s="92">
        <v>0</v>
      </c>
      <c r="K30" s="102">
        <v>8</v>
      </c>
      <c r="L30" s="11">
        <v>1</v>
      </c>
      <c r="M30" s="11">
        <v>1</v>
      </c>
      <c r="N30" s="11">
        <v>0</v>
      </c>
      <c r="O30" s="11">
        <v>1</v>
      </c>
      <c r="P30" s="92">
        <v>0</v>
      </c>
      <c r="Q30" s="28">
        <v>1</v>
      </c>
      <c r="R30" s="97">
        <v>9</v>
      </c>
    </row>
    <row r="31" spans="2:18" ht="18" customHeight="1" x14ac:dyDescent="0.3">
      <c r="B31" s="79" cm="1">
        <f t="array" ref="B31:R31">INSTALLATION!A695:Q695</f>
        <v>26</v>
      </c>
      <c r="C31" s="230" t="str">
        <v>TUKURAN</v>
      </c>
      <c r="D31" s="87">
        <v>25</v>
      </c>
      <c r="E31" s="83" t="str">
        <v>BARANGAYS</v>
      </c>
      <c r="F31" s="68" t="str">
        <v xml:space="preserve">LOS | NLOS </v>
      </c>
      <c r="G31" s="68">
        <v>17</v>
      </c>
      <c r="H31" s="68">
        <v>8</v>
      </c>
      <c r="I31" s="68" t="str">
        <v>INSTALLATIONS</v>
      </c>
      <c r="J31" s="91">
        <v>0</v>
      </c>
      <c r="K31" s="101">
        <v>6</v>
      </c>
      <c r="L31" s="68">
        <v>3</v>
      </c>
      <c r="M31" s="68">
        <v>1</v>
      </c>
      <c r="N31" s="68">
        <v>0</v>
      </c>
      <c r="O31" s="68">
        <v>1</v>
      </c>
      <c r="P31" s="91">
        <v>1</v>
      </c>
      <c r="Q31" s="69">
        <v>1</v>
      </c>
      <c r="R31" s="96">
        <v>7</v>
      </c>
    </row>
    <row r="32" spans="2:18" ht="18" customHeight="1" thickBot="1" x14ac:dyDescent="0.35">
      <c r="B32" s="80" cm="1">
        <f t="array" ref="B32:R32">INSTALLATION!A710:Q710</f>
        <v>27</v>
      </c>
      <c r="C32" s="232" t="str">
        <v>VINCENZO SAGON</v>
      </c>
      <c r="D32" s="89">
        <v>14</v>
      </c>
      <c r="E32" s="85" t="str">
        <v>BARANGAYS</v>
      </c>
      <c r="F32" s="12" t="str">
        <v xml:space="preserve">LOS | NLOS </v>
      </c>
      <c r="G32" s="12">
        <v>8</v>
      </c>
      <c r="H32" s="12">
        <v>6</v>
      </c>
      <c r="I32" s="12" t="str">
        <v>INSTALLATIONS</v>
      </c>
      <c r="J32" s="93">
        <v>0</v>
      </c>
      <c r="K32" s="103">
        <v>2</v>
      </c>
      <c r="L32" s="12">
        <v>0</v>
      </c>
      <c r="M32" s="12">
        <v>0</v>
      </c>
      <c r="N32" s="12">
        <v>0</v>
      </c>
      <c r="O32" s="12">
        <v>1</v>
      </c>
      <c r="P32" s="93">
        <v>0</v>
      </c>
      <c r="Q32" s="29">
        <v>0</v>
      </c>
      <c r="R32" s="98">
        <v>2</v>
      </c>
    </row>
    <row r="33" spans="2:18" ht="18" customHeight="1" thickBot="1" x14ac:dyDescent="0.35">
      <c r="B33" s="81">
        <f>COUNTA(B6:B32)</f>
        <v>27</v>
      </c>
      <c r="C33" s="193" t="s">
        <v>1427</v>
      </c>
      <c r="D33" s="81">
        <f t="shared" ref="D33:H33" si="0">SUM(D6:D32)</f>
        <v>681</v>
      </c>
      <c r="E33" s="77">
        <f t="shared" si="0"/>
        <v>0</v>
      </c>
      <c r="F33" s="15">
        <f t="shared" si="0"/>
        <v>0</v>
      </c>
      <c r="G33" s="15">
        <f t="shared" si="0"/>
        <v>514</v>
      </c>
      <c r="H33" s="15">
        <f t="shared" si="0"/>
        <v>167</v>
      </c>
      <c r="I33" s="15"/>
      <c r="J33" s="94"/>
      <c r="K33" s="61">
        <f>SUM(K6:K32)</f>
        <v>346</v>
      </c>
      <c r="L33" s="15">
        <f t="shared" ref="L33:R33" si="1">SUM(L6:L32)</f>
        <v>72</v>
      </c>
      <c r="M33" s="15">
        <f t="shared" si="1"/>
        <v>33</v>
      </c>
      <c r="N33" s="15">
        <f t="shared" si="1"/>
        <v>5</v>
      </c>
      <c r="O33" s="15">
        <f t="shared" si="1"/>
        <v>44</v>
      </c>
      <c r="P33" s="15">
        <f t="shared" si="1"/>
        <v>5</v>
      </c>
      <c r="Q33" s="16">
        <f t="shared" si="1"/>
        <v>35</v>
      </c>
      <c r="R33" s="22">
        <f t="shared" si="1"/>
        <v>365</v>
      </c>
    </row>
    <row r="34" spans="2:18" ht="18" customHeight="1" x14ac:dyDescent="0.3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</row>
    <row r="35" spans="2:18" ht="18" customHeight="1" x14ac:dyDescent="0.3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</row>
    <row r="36" spans="2:18" ht="18" customHeight="1" x14ac:dyDescent="0.3">
      <c r="B36" s="258" t="s">
        <v>1429</v>
      </c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</row>
    <row r="37" spans="2:18" ht="3.75" customHeight="1" x14ac:dyDescent="0.3">
      <c r="B37" s="258"/>
      <c r="Q37" s="30"/>
    </row>
    <row r="38" spans="2:18" ht="15" customHeight="1" x14ac:dyDescent="0.3">
      <c r="B38" s="237" t="s">
        <v>1381</v>
      </c>
      <c r="C38" s="105" t="s">
        <v>1389</v>
      </c>
      <c r="D38" s="30"/>
      <c r="E38" s="30"/>
      <c r="F38" s="30"/>
      <c r="G38" s="238" t="s">
        <v>6</v>
      </c>
      <c r="H38" s="104" t="s">
        <v>1386</v>
      </c>
      <c r="L38" s="30"/>
      <c r="M38" s="30"/>
      <c r="N38" s="30"/>
      <c r="O38" s="30"/>
      <c r="P38" s="30"/>
    </row>
    <row r="39" spans="2:18" ht="15" customHeight="1" x14ac:dyDescent="0.3">
      <c r="B39" s="238" t="s">
        <v>2</v>
      </c>
      <c r="C39" s="104" t="s">
        <v>1384</v>
      </c>
      <c r="D39" s="33"/>
      <c r="G39" s="238" t="s">
        <v>108</v>
      </c>
      <c r="H39" s="32" t="s">
        <v>1426</v>
      </c>
    </row>
    <row r="40" spans="2:18" ht="15" customHeight="1" x14ac:dyDescent="0.3">
      <c r="B40" s="238" t="s">
        <v>4</v>
      </c>
      <c r="C40" s="104" t="s">
        <v>1382</v>
      </c>
      <c r="D40" s="33"/>
      <c r="G40" s="238" t="s">
        <v>451</v>
      </c>
      <c r="H40" s="32" t="s">
        <v>1387</v>
      </c>
    </row>
    <row r="41" spans="2:18" ht="15" customHeight="1" x14ac:dyDescent="0.3">
      <c r="B41" s="238" t="s">
        <v>5</v>
      </c>
      <c r="C41" s="104" t="s">
        <v>1385</v>
      </c>
      <c r="D41" s="33"/>
      <c r="G41" s="238" t="s">
        <v>169</v>
      </c>
      <c r="H41" s="32" t="s">
        <v>1388</v>
      </c>
    </row>
    <row r="42" spans="2:18" ht="15" customHeight="1" x14ac:dyDescent="0.3">
      <c r="B42" s="239"/>
      <c r="C42" s="104"/>
      <c r="D42" s="33"/>
      <c r="G42" s="239"/>
      <c r="H42" s="32"/>
    </row>
    <row r="43" spans="2:18" ht="15" customHeight="1" x14ac:dyDescent="0.3">
      <c r="B43" s="239"/>
      <c r="C43" s="104"/>
      <c r="D43" s="33"/>
      <c r="G43" s="239"/>
      <c r="H43" s="32"/>
    </row>
    <row r="44" spans="2:18" ht="15" customHeight="1" x14ac:dyDescent="0.3">
      <c r="B44" s="239"/>
      <c r="C44" s="104"/>
      <c r="D44" s="33"/>
      <c r="G44" s="239"/>
      <c r="H44" s="32"/>
    </row>
    <row r="45" spans="2:18" x14ac:dyDescent="0.3">
      <c r="B45" s="258" t="s">
        <v>1430</v>
      </c>
      <c r="K45" s="233"/>
      <c r="L45" s="235"/>
      <c r="M45" s="235"/>
      <c r="O45" s="270"/>
      <c r="P45" s="270"/>
      <c r="Q45" s="270"/>
    </row>
    <row r="46" spans="2:18" x14ac:dyDescent="0.3">
      <c r="C46" s="234" t="s">
        <v>1413</v>
      </c>
      <c r="D46" s="227">
        <f>D33</f>
        <v>681</v>
      </c>
      <c r="H46" s="233"/>
      <c r="I46" s="235"/>
      <c r="J46" s="235"/>
      <c r="K46" s="233" t="s">
        <v>1409</v>
      </c>
      <c r="L46" s="235"/>
      <c r="M46" s="235"/>
      <c r="O46" s="274">
        <f>K33</f>
        <v>346</v>
      </c>
      <c r="P46" s="274"/>
      <c r="Q46" s="274"/>
    </row>
    <row r="47" spans="2:18" x14ac:dyDescent="0.3">
      <c r="C47" s="234" t="s">
        <v>1411</v>
      </c>
      <c r="D47" s="227">
        <f>G33</f>
        <v>514</v>
      </c>
      <c r="H47" s="233"/>
      <c r="I47" s="235"/>
      <c r="J47" s="235"/>
      <c r="K47" s="233" t="s">
        <v>1414</v>
      </c>
      <c r="L47" s="235"/>
      <c r="M47" s="235"/>
      <c r="O47" s="274">
        <f>SUM(L33:N33)</f>
        <v>110</v>
      </c>
      <c r="P47" s="274"/>
      <c r="Q47" s="274"/>
    </row>
    <row r="48" spans="2:18" x14ac:dyDescent="0.3">
      <c r="C48" s="234" t="s">
        <v>1410</v>
      </c>
      <c r="D48" s="227">
        <f>H33</f>
        <v>167</v>
      </c>
      <c r="H48" s="233"/>
      <c r="I48" s="235"/>
      <c r="J48" s="235"/>
      <c r="K48" s="233" t="s">
        <v>1415</v>
      </c>
      <c r="L48" s="235"/>
      <c r="M48" s="235"/>
      <c r="O48" s="275">
        <f>O33</f>
        <v>44</v>
      </c>
      <c r="P48" s="276"/>
      <c r="Q48" s="277"/>
    </row>
    <row r="49" spans="2:18" x14ac:dyDescent="0.3">
      <c r="C49" s="234" t="s">
        <v>1423</v>
      </c>
      <c r="D49" s="227">
        <f>R33</f>
        <v>365</v>
      </c>
      <c r="H49" s="233"/>
      <c r="I49" s="235"/>
      <c r="J49" s="235"/>
      <c r="K49" s="233" t="s">
        <v>1416</v>
      </c>
      <c r="L49" s="235"/>
      <c r="M49" s="235"/>
      <c r="O49" s="275">
        <f>P33</f>
        <v>5</v>
      </c>
      <c r="P49" s="276"/>
      <c r="Q49" s="277"/>
    </row>
    <row r="50" spans="2:18" x14ac:dyDescent="0.3">
      <c r="C50" s="234" t="s">
        <v>1398</v>
      </c>
      <c r="D50" s="227">
        <f>D33-R33</f>
        <v>316</v>
      </c>
      <c r="H50" s="233"/>
      <c r="I50" s="235"/>
      <c r="J50" s="235"/>
      <c r="K50" s="233" t="s">
        <v>1417</v>
      </c>
      <c r="L50" s="235"/>
      <c r="M50" s="235"/>
      <c r="O50" s="274">
        <f>Q33</f>
        <v>35</v>
      </c>
      <c r="P50" s="274"/>
      <c r="Q50" s="274"/>
    </row>
    <row r="51" spans="2:18" x14ac:dyDescent="0.3">
      <c r="C51" s="234" t="s">
        <v>1399</v>
      </c>
      <c r="D51" s="227">
        <f>D47-D49</f>
        <v>149</v>
      </c>
      <c r="H51" s="233"/>
      <c r="I51" s="235"/>
      <c r="J51" s="235"/>
      <c r="K51" s="258" t="s">
        <v>1418</v>
      </c>
      <c r="L51" s="235"/>
      <c r="M51" s="235"/>
      <c r="O51" s="274">
        <f>SUM(K33:Q33)</f>
        <v>540</v>
      </c>
      <c r="P51" s="274"/>
      <c r="Q51" s="274"/>
    </row>
    <row r="52" spans="2:18" x14ac:dyDescent="0.3">
      <c r="C52" s="234"/>
      <c r="D52" s="70"/>
      <c r="H52" s="233"/>
      <c r="I52" s="235"/>
      <c r="J52" s="235"/>
      <c r="K52" s="233"/>
      <c r="L52" s="235"/>
      <c r="M52" s="235"/>
      <c r="O52" s="270"/>
      <c r="P52" s="270"/>
      <c r="Q52" s="270"/>
    </row>
    <row r="53" spans="2:18" x14ac:dyDescent="0.3">
      <c r="B53" s="258" t="s">
        <v>1431</v>
      </c>
    </row>
    <row r="54" spans="2:18" x14ac:dyDescent="0.3">
      <c r="B54" s="258"/>
      <c r="C54" s="234" t="s">
        <v>1421</v>
      </c>
    </row>
    <row r="55" spans="2:18" x14ac:dyDescent="0.3">
      <c r="B55" s="258"/>
      <c r="C55" s="233" t="s">
        <v>1420</v>
      </c>
    </row>
    <row r="56" spans="2:18" s="236" customFormat="1" ht="15.75" x14ac:dyDescent="0.25">
      <c r="B56" s="233"/>
      <c r="C56" s="233" t="s">
        <v>1422</v>
      </c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</row>
    <row r="57" spans="2:18" s="236" customFormat="1" ht="15.75" x14ac:dyDescent="0.25">
      <c r="B57" s="233"/>
      <c r="D57" s="235"/>
      <c r="E57" s="235"/>
      <c r="F57" s="235"/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35"/>
      <c r="R57" s="235"/>
    </row>
    <row r="58" spans="2:18" s="236" customFormat="1" ht="15.75" x14ac:dyDescent="0.25">
      <c r="B58" s="233"/>
      <c r="D58" s="235"/>
      <c r="E58" s="235"/>
      <c r="F58" s="235"/>
      <c r="G58" s="235"/>
      <c r="H58" s="235"/>
      <c r="I58" s="235"/>
      <c r="J58" s="235"/>
      <c r="K58" s="235"/>
      <c r="L58" s="235"/>
      <c r="M58" s="235"/>
      <c r="N58" s="235"/>
      <c r="O58" s="235"/>
      <c r="P58" s="235"/>
      <c r="Q58" s="235"/>
      <c r="R58" s="235"/>
    </row>
    <row r="59" spans="2:18" s="236" customFormat="1" ht="15.75" x14ac:dyDescent="0.25">
      <c r="B59" s="233"/>
      <c r="C59" s="234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</row>
    <row r="60" spans="2:18" s="236" customFormat="1" ht="15.75" x14ac:dyDescent="0.25">
      <c r="B60" s="118"/>
      <c r="C60" s="234"/>
      <c r="D60" s="235"/>
      <c r="E60" s="235"/>
      <c r="F60" s="235"/>
      <c r="G60" s="235"/>
      <c r="H60" s="235"/>
      <c r="I60" s="235"/>
      <c r="J60" s="235"/>
      <c r="K60" s="235"/>
      <c r="L60" s="235"/>
      <c r="M60" s="235"/>
      <c r="N60" s="235"/>
      <c r="O60" s="235"/>
      <c r="P60" s="235"/>
      <c r="Q60" s="235"/>
      <c r="R60" s="235"/>
    </row>
    <row r="61" spans="2:18" ht="15" customHeight="1" x14ac:dyDescent="0.3">
      <c r="B61" s="117" t="s">
        <v>1379</v>
      </c>
      <c r="C61" s="104"/>
      <c r="D61" s="33"/>
      <c r="G61" s="59" t="s">
        <v>1393</v>
      </c>
    </row>
    <row r="62" spans="2:18" ht="15" customHeight="1" x14ac:dyDescent="0.3">
      <c r="B62" s="117"/>
      <c r="C62" s="104"/>
      <c r="D62" s="33"/>
      <c r="G62" s="59"/>
    </row>
    <row r="63" spans="2:18" ht="15" customHeight="1" x14ac:dyDescent="0.3">
      <c r="B63" s="117"/>
      <c r="C63" s="104"/>
      <c r="D63" s="33"/>
      <c r="G63" s="59"/>
    </row>
    <row r="64" spans="2:18" s="240" customFormat="1" ht="15" customHeight="1" x14ac:dyDescent="0.3">
      <c r="B64" s="271" t="s">
        <v>1400</v>
      </c>
      <c r="C64" s="271"/>
      <c r="D64" s="241"/>
      <c r="E64" s="241"/>
      <c r="F64" s="241"/>
      <c r="G64" s="241"/>
      <c r="H64" s="241"/>
      <c r="I64" s="241"/>
      <c r="J64" s="241"/>
      <c r="K64" s="241"/>
      <c r="L64" s="271" t="s">
        <v>1404</v>
      </c>
      <c r="M64" s="271"/>
      <c r="N64" s="271"/>
      <c r="O64" s="271"/>
      <c r="P64" s="271"/>
      <c r="Q64" s="271"/>
      <c r="R64" s="271"/>
    </row>
    <row r="65" spans="2:18" x14ac:dyDescent="0.3">
      <c r="B65" s="272" t="s">
        <v>1401</v>
      </c>
      <c r="C65" s="272"/>
      <c r="L65" s="273" t="s">
        <v>1403</v>
      </c>
      <c r="M65" s="273"/>
      <c r="N65" s="273"/>
      <c r="O65" s="273"/>
      <c r="P65" s="273"/>
      <c r="Q65" s="273"/>
      <c r="R65" s="273"/>
    </row>
    <row r="66" spans="2:18" x14ac:dyDescent="0.3">
      <c r="B66" s="272" t="s">
        <v>1402</v>
      </c>
      <c r="C66" s="272"/>
      <c r="L66" s="273" t="s">
        <v>1402</v>
      </c>
      <c r="M66" s="273"/>
      <c r="N66" s="273"/>
      <c r="O66" s="273"/>
      <c r="P66" s="273"/>
      <c r="Q66" s="273"/>
      <c r="R66" s="273"/>
    </row>
    <row r="67" spans="2:18" ht="18" customHeight="1" x14ac:dyDescent="0.3">
      <c r="B67" s="118"/>
      <c r="C67" s="104"/>
      <c r="G67" s="31"/>
      <c r="H67" s="104"/>
    </row>
    <row r="69" spans="2:18" s="117" customFormat="1" ht="15" x14ac:dyDescent="0.25">
      <c r="B69" s="118" t="s">
        <v>1407</v>
      </c>
      <c r="C69" s="118"/>
    </row>
    <row r="70" spans="2:18" x14ac:dyDescent="0.3">
      <c r="B70" s="33"/>
      <c r="C70" s="259" t="s">
        <v>1408</v>
      </c>
    </row>
  </sheetData>
  <mergeCells count="19">
    <mergeCell ref="B4:B5"/>
    <mergeCell ref="C4:C5"/>
    <mergeCell ref="G4:H4"/>
    <mergeCell ref="K4:Q4"/>
    <mergeCell ref="D4:D5"/>
    <mergeCell ref="O45:Q45"/>
    <mergeCell ref="O52:Q52"/>
    <mergeCell ref="B64:C64"/>
    <mergeCell ref="B65:C65"/>
    <mergeCell ref="B66:C66"/>
    <mergeCell ref="L64:R64"/>
    <mergeCell ref="L65:R65"/>
    <mergeCell ref="L66:R66"/>
    <mergeCell ref="O51:Q51"/>
    <mergeCell ref="O46:Q46"/>
    <mergeCell ref="O47:Q47"/>
    <mergeCell ref="O48:Q48"/>
    <mergeCell ref="O49:Q49"/>
    <mergeCell ref="O50:Q50"/>
  </mergeCells>
  <hyperlinks>
    <hyperlink ref="C70" r:id="rId1" xr:uid="{995259FB-87FC-4284-9F6A-83FB421FC646}"/>
  </hyperlinks>
  <pageMargins left="0.15748031496062992" right="0.19685039370078741" top="0.74803149606299213" bottom="0.39370078740157483" header="0.19685039370078741" footer="0.19685039370078741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0658-EC76-4D99-AF2E-6ECA4B65F9C1}">
  <sheetPr codeName="Sheet2"/>
  <dimension ref="A1:R1120"/>
  <sheetViews>
    <sheetView showGridLines="0" tabSelected="1" zoomScaleNormal="100" workbookViewId="0">
      <pane ySplit="2" topLeftCell="A3" activePane="bottomLeft" state="frozen"/>
      <selection pane="bottomLeft" activeCell="A3" sqref="A3"/>
    </sheetView>
  </sheetViews>
  <sheetFormatPr defaultColWidth="9.140625" defaultRowHeight="18.75" x14ac:dyDescent="0.3"/>
  <cols>
    <col min="1" max="1" width="4.140625" style="53" customWidth="1"/>
    <col min="2" max="2" width="21" style="9" customWidth="1"/>
    <col min="3" max="3" width="4.140625" style="6" customWidth="1"/>
    <col min="4" max="4" width="24.140625" style="5" customWidth="1"/>
    <col min="5" max="5" width="17.5703125" style="6" hidden="1" customWidth="1"/>
    <col min="6" max="7" width="5" style="2" hidden="1" customWidth="1"/>
    <col min="8" max="8" width="19.5703125" style="5" hidden="1" customWidth="1"/>
    <col min="9" max="9" width="18" style="6" hidden="1" customWidth="1"/>
    <col min="10" max="10" width="5.140625" style="54" customWidth="1"/>
    <col min="11" max="11" width="5" style="54" customWidth="1"/>
    <col min="12" max="12" width="5.42578125" style="54" customWidth="1"/>
    <col min="13" max="15" width="5.28515625" style="54" customWidth="1"/>
    <col min="16" max="16" width="5" style="54" customWidth="1"/>
    <col min="17" max="17" width="5.85546875" style="9" hidden="1" customWidth="1"/>
    <col min="18" max="18" width="4.42578125" style="2" customWidth="1"/>
    <col min="19" max="19" width="3.5703125" style="2" customWidth="1"/>
    <col min="20" max="28" width="9.140625" style="2" customWidth="1"/>
    <col min="29" max="16384" width="9.140625" style="2"/>
  </cols>
  <sheetData>
    <row r="1" spans="1:18" s="1" customFormat="1" ht="18.75" customHeight="1" x14ac:dyDescent="0.3">
      <c r="A1" s="294" t="s">
        <v>0</v>
      </c>
      <c r="B1" s="293"/>
      <c r="C1" s="293" t="s">
        <v>1</v>
      </c>
      <c r="D1" s="293"/>
      <c r="E1" s="293"/>
      <c r="F1" s="295" t="s">
        <v>1380</v>
      </c>
      <c r="G1" s="295"/>
      <c r="H1" s="295"/>
      <c r="I1" s="295"/>
      <c r="J1" s="288" t="s">
        <v>3</v>
      </c>
      <c r="K1" s="289"/>
      <c r="L1" s="289"/>
      <c r="M1" s="289"/>
      <c r="N1" s="289"/>
      <c r="O1" s="289"/>
      <c r="P1" s="289"/>
      <c r="Q1" s="289"/>
      <c r="R1" s="290"/>
    </row>
    <row r="2" spans="1:18" ht="19.5" thickBot="1" x14ac:dyDescent="0.35">
      <c r="A2" s="58" t="s">
        <v>7</v>
      </c>
      <c r="B2" s="35" t="s">
        <v>1391</v>
      </c>
      <c r="C2" s="35" t="s">
        <v>7</v>
      </c>
      <c r="D2" s="13" t="s">
        <v>1392</v>
      </c>
      <c r="E2" s="13" t="s">
        <v>137</v>
      </c>
      <c r="F2" s="296" t="s">
        <v>2</v>
      </c>
      <c r="G2" s="296"/>
      <c r="H2" s="13" t="s">
        <v>1390</v>
      </c>
      <c r="I2" s="13" t="s">
        <v>137</v>
      </c>
      <c r="J2" s="13" t="s">
        <v>4</v>
      </c>
      <c r="K2" s="13" t="s">
        <v>5</v>
      </c>
      <c r="L2" s="13" t="s">
        <v>6</v>
      </c>
      <c r="M2" s="13" t="s">
        <v>108</v>
      </c>
      <c r="N2" s="13" t="s">
        <v>451</v>
      </c>
      <c r="O2" s="13" t="s">
        <v>1412</v>
      </c>
      <c r="P2" s="13" t="s">
        <v>169</v>
      </c>
      <c r="Q2" s="242" t="s">
        <v>1377</v>
      </c>
      <c r="R2" s="19" t="s">
        <v>1405</v>
      </c>
    </row>
    <row r="3" spans="1:18" x14ac:dyDescent="0.3">
      <c r="A3" s="119">
        <v>1</v>
      </c>
      <c r="B3" s="41" t="s">
        <v>1406</v>
      </c>
      <c r="C3" s="256">
        <v>1</v>
      </c>
      <c r="D3" s="187" t="s">
        <v>10</v>
      </c>
      <c r="E3" s="42" t="s">
        <v>138</v>
      </c>
      <c r="F3" s="151" t="s">
        <v>52</v>
      </c>
      <c r="G3" s="151"/>
      <c r="H3" s="152" t="s">
        <v>262</v>
      </c>
      <c r="I3" s="153" t="s">
        <v>263</v>
      </c>
      <c r="J3" s="206" t="s">
        <v>1383</v>
      </c>
      <c r="K3" s="206"/>
      <c r="L3" s="206"/>
      <c r="M3" s="207"/>
      <c r="N3" s="207" t="s">
        <v>1383</v>
      </c>
      <c r="O3" s="207"/>
      <c r="P3" s="206"/>
      <c r="Q3" s="257" t="b">
        <f>IF(COUNTA(J3:P3)=0,FALSE,TRUE)</f>
        <v>1</v>
      </c>
      <c r="R3" s="208">
        <f>COUNTA(J3:P3)</f>
        <v>2</v>
      </c>
    </row>
    <row r="4" spans="1:18" x14ac:dyDescent="0.25">
      <c r="A4" s="124">
        <v>1</v>
      </c>
      <c r="B4" s="36" t="s">
        <v>1406</v>
      </c>
      <c r="C4" s="4">
        <v>2</v>
      </c>
      <c r="D4" s="125" t="s">
        <v>54</v>
      </c>
      <c r="E4" s="11" t="s">
        <v>269</v>
      </c>
      <c r="F4" s="126" t="s">
        <v>52</v>
      </c>
      <c r="G4" s="126"/>
      <c r="H4" s="127" t="s">
        <v>312</v>
      </c>
      <c r="I4" s="11" t="s">
        <v>307</v>
      </c>
      <c r="J4" s="197" t="s">
        <v>1383</v>
      </c>
      <c r="K4" s="197"/>
      <c r="L4" s="197"/>
      <c r="M4" s="198"/>
      <c r="N4" s="198"/>
      <c r="O4" s="198"/>
      <c r="P4" s="197"/>
      <c r="Q4" s="106" t="b">
        <f>IF(COUNTA(J4:P4)=0,FALSE,TRUE)</f>
        <v>1</v>
      </c>
      <c r="R4" s="199">
        <f t="shared" ref="R4:R67" si="0">COUNTA(J4:P4)</f>
        <v>1</v>
      </c>
    </row>
    <row r="5" spans="1:18" x14ac:dyDescent="0.3">
      <c r="A5" s="124">
        <v>1</v>
      </c>
      <c r="B5" s="36" t="s">
        <v>1406</v>
      </c>
      <c r="C5" s="4">
        <v>3</v>
      </c>
      <c r="D5" s="125" t="s">
        <v>11</v>
      </c>
      <c r="E5" s="11" t="s">
        <v>270</v>
      </c>
      <c r="F5" s="126" t="s">
        <v>52</v>
      </c>
      <c r="G5" s="126"/>
      <c r="H5" s="122" t="s">
        <v>262</v>
      </c>
      <c r="I5" s="123" t="s">
        <v>263</v>
      </c>
      <c r="J5" s="197" t="s">
        <v>1383</v>
      </c>
      <c r="K5" s="197"/>
      <c r="L5" s="197"/>
      <c r="M5" s="198"/>
      <c r="N5" s="198"/>
      <c r="O5" s="198"/>
      <c r="P5" s="197"/>
      <c r="Q5" s="106" t="b">
        <f t="shared" ref="Q5:Q68" si="1">IF(COUNTA(J5:P5)=0,FALSE,TRUE)</f>
        <v>1</v>
      </c>
      <c r="R5" s="199">
        <f t="shared" si="0"/>
        <v>1</v>
      </c>
    </row>
    <row r="6" spans="1:18" x14ac:dyDescent="0.3">
      <c r="A6" s="124">
        <v>1</v>
      </c>
      <c r="B6" s="36" t="s">
        <v>1406</v>
      </c>
      <c r="C6" s="4">
        <v>4</v>
      </c>
      <c r="D6" s="125" t="s">
        <v>12</v>
      </c>
      <c r="E6" s="11" t="s">
        <v>271</v>
      </c>
      <c r="F6" s="126" t="s">
        <v>52</v>
      </c>
      <c r="G6" s="126"/>
      <c r="H6" s="122" t="s">
        <v>262</v>
      </c>
      <c r="I6" s="123" t="s">
        <v>263</v>
      </c>
      <c r="J6" s="197" t="s">
        <v>1383</v>
      </c>
      <c r="K6" s="197"/>
      <c r="L6" s="197"/>
      <c r="M6" s="198"/>
      <c r="N6" s="198" t="s">
        <v>1383</v>
      </c>
      <c r="O6" s="198" t="s">
        <v>1383</v>
      </c>
      <c r="P6" s="197"/>
      <c r="Q6" s="106" t="b">
        <f t="shared" si="1"/>
        <v>1</v>
      </c>
      <c r="R6" s="199">
        <f t="shared" si="0"/>
        <v>3</v>
      </c>
    </row>
    <row r="7" spans="1:18" x14ac:dyDescent="0.3">
      <c r="A7" s="124">
        <v>1</v>
      </c>
      <c r="B7" s="36" t="s">
        <v>1406</v>
      </c>
      <c r="C7" s="4">
        <v>5</v>
      </c>
      <c r="D7" s="125" t="s">
        <v>13</v>
      </c>
      <c r="E7" s="11" t="s">
        <v>272</v>
      </c>
      <c r="F7" s="126" t="s">
        <v>52</v>
      </c>
      <c r="G7" s="126"/>
      <c r="H7" s="122" t="s">
        <v>262</v>
      </c>
      <c r="I7" s="123" t="s">
        <v>263</v>
      </c>
      <c r="J7" s="197" t="s">
        <v>1383</v>
      </c>
      <c r="K7" s="197"/>
      <c r="L7" s="197"/>
      <c r="M7" s="198"/>
      <c r="N7" s="198"/>
      <c r="O7" s="198"/>
      <c r="P7" s="197"/>
      <c r="Q7" s="106" t="b">
        <f t="shared" si="1"/>
        <v>1</v>
      </c>
      <c r="R7" s="199">
        <f t="shared" si="0"/>
        <v>1</v>
      </c>
    </row>
    <row r="8" spans="1:18" x14ac:dyDescent="0.25">
      <c r="A8" s="124">
        <v>1</v>
      </c>
      <c r="B8" s="36" t="s">
        <v>1406</v>
      </c>
      <c r="C8" s="4">
        <v>6</v>
      </c>
      <c r="D8" s="125" t="s">
        <v>14</v>
      </c>
      <c r="E8" s="11" t="s">
        <v>273</v>
      </c>
      <c r="F8" s="126" t="s">
        <v>52</v>
      </c>
      <c r="G8" s="126"/>
      <c r="H8" s="127" t="s">
        <v>312</v>
      </c>
      <c r="I8" s="11" t="s">
        <v>307</v>
      </c>
      <c r="J8" s="197" t="s">
        <v>1383</v>
      </c>
      <c r="K8" s="197"/>
      <c r="L8" s="197"/>
      <c r="M8" s="198"/>
      <c r="N8" s="198"/>
      <c r="O8" s="198"/>
      <c r="P8" s="197"/>
      <c r="Q8" s="106" t="b">
        <f t="shared" si="1"/>
        <v>1</v>
      </c>
      <c r="R8" s="199">
        <f t="shared" si="0"/>
        <v>1</v>
      </c>
    </row>
    <row r="9" spans="1:18" x14ac:dyDescent="0.25">
      <c r="A9" s="124">
        <v>1</v>
      </c>
      <c r="B9" s="36" t="s">
        <v>1406</v>
      </c>
      <c r="C9" s="4">
        <v>7</v>
      </c>
      <c r="D9" s="125" t="s">
        <v>15</v>
      </c>
      <c r="E9" s="11" t="s">
        <v>274</v>
      </c>
      <c r="F9" s="128"/>
      <c r="G9" s="128" t="s">
        <v>53</v>
      </c>
      <c r="H9" s="129" t="s">
        <v>312</v>
      </c>
      <c r="I9" s="128" t="s">
        <v>307</v>
      </c>
      <c r="J9" s="197"/>
      <c r="K9" s="197"/>
      <c r="L9" s="197"/>
      <c r="M9" s="198"/>
      <c r="N9" s="198"/>
      <c r="O9" s="198"/>
      <c r="P9" s="197"/>
      <c r="Q9" s="106" t="b">
        <f t="shared" si="1"/>
        <v>0</v>
      </c>
      <c r="R9" s="199">
        <f t="shared" si="0"/>
        <v>0</v>
      </c>
    </row>
    <row r="10" spans="1:18" x14ac:dyDescent="0.3">
      <c r="A10" s="124">
        <v>1</v>
      </c>
      <c r="B10" s="36" t="s">
        <v>1406</v>
      </c>
      <c r="C10" s="4">
        <v>8</v>
      </c>
      <c r="D10" s="125" t="s">
        <v>16</v>
      </c>
      <c r="E10" s="11" t="s">
        <v>276</v>
      </c>
      <c r="F10" s="126" t="s">
        <v>52</v>
      </c>
      <c r="G10" s="126"/>
      <c r="H10" s="122" t="s">
        <v>262</v>
      </c>
      <c r="I10" s="123" t="s">
        <v>263</v>
      </c>
      <c r="J10" s="197" t="s">
        <v>1383</v>
      </c>
      <c r="K10" s="197"/>
      <c r="L10" s="197"/>
      <c r="M10" s="198"/>
      <c r="N10" s="198"/>
      <c r="O10" s="198"/>
      <c r="P10" s="197"/>
      <c r="Q10" s="106" t="b">
        <f t="shared" si="1"/>
        <v>1</v>
      </c>
      <c r="R10" s="199">
        <f t="shared" si="0"/>
        <v>1</v>
      </c>
    </row>
    <row r="11" spans="1:18" x14ac:dyDescent="0.3">
      <c r="A11" s="124">
        <v>1</v>
      </c>
      <c r="B11" s="36" t="s">
        <v>1406</v>
      </c>
      <c r="C11" s="4">
        <v>9</v>
      </c>
      <c r="D11" s="125" t="s">
        <v>17</v>
      </c>
      <c r="E11" s="11" t="s">
        <v>275</v>
      </c>
      <c r="F11" s="126" t="s">
        <v>52</v>
      </c>
      <c r="G11" s="126"/>
      <c r="H11" s="122" t="s">
        <v>262</v>
      </c>
      <c r="I11" s="123" t="s">
        <v>263</v>
      </c>
      <c r="J11" s="197" t="s">
        <v>1383</v>
      </c>
      <c r="K11" s="197"/>
      <c r="L11" s="197"/>
      <c r="M11" s="198"/>
      <c r="N11" s="198"/>
      <c r="O11" s="198"/>
      <c r="P11" s="197"/>
      <c r="Q11" s="106" t="b">
        <f t="shared" si="1"/>
        <v>1</v>
      </c>
      <c r="R11" s="199">
        <f t="shared" si="0"/>
        <v>1</v>
      </c>
    </row>
    <row r="12" spans="1:18" x14ac:dyDescent="0.3">
      <c r="A12" s="124">
        <v>1</v>
      </c>
      <c r="B12" s="36" t="s">
        <v>1406</v>
      </c>
      <c r="C12" s="4">
        <v>10</v>
      </c>
      <c r="D12" s="125" t="s">
        <v>18</v>
      </c>
      <c r="E12" s="11" t="s">
        <v>277</v>
      </c>
      <c r="F12" s="126" t="s">
        <v>52</v>
      </c>
      <c r="G12" s="128"/>
      <c r="H12" s="122" t="s">
        <v>267</v>
      </c>
      <c r="I12" s="123" t="s">
        <v>268</v>
      </c>
      <c r="J12" s="197"/>
      <c r="K12" s="197"/>
      <c r="L12" s="197"/>
      <c r="M12" s="198"/>
      <c r="N12" s="198"/>
      <c r="O12" s="198"/>
      <c r="P12" s="197"/>
      <c r="Q12" s="106" t="b">
        <f t="shared" si="1"/>
        <v>0</v>
      </c>
      <c r="R12" s="199">
        <f t="shared" si="0"/>
        <v>0</v>
      </c>
    </row>
    <row r="13" spans="1:18" x14ac:dyDescent="0.25">
      <c r="A13" s="124">
        <v>1</v>
      </c>
      <c r="B13" s="36" t="s">
        <v>1406</v>
      </c>
      <c r="C13" s="4">
        <v>11</v>
      </c>
      <c r="D13" s="125" t="s">
        <v>19</v>
      </c>
      <c r="E13" s="11" t="s">
        <v>278</v>
      </c>
      <c r="F13" s="126" t="s">
        <v>52</v>
      </c>
      <c r="G13" s="126"/>
      <c r="H13" s="127" t="s">
        <v>312</v>
      </c>
      <c r="I13" s="11" t="s">
        <v>307</v>
      </c>
      <c r="J13" s="197"/>
      <c r="K13" s="197"/>
      <c r="L13" s="197"/>
      <c r="M13" s="198"/>
      <c r="N13" s="198"/>
      <c r="O13" s="198"/>
      <c r="P13" s="197"/>
      <c r="Q13" s="106" t="b">
        <f t="shared" si="1"/>
        <v>0</v>
      </c>
      <c r="R13" s="199">
        <f t="shared" si="0"/>
        <v>0</v>
      </c>
    </row>
    <row r="14" spans="1:18" x14ac:dyDescent="0.3">
      <c r="A14" s="124">
        <v>1</v>
      </c>
      <c r="B14" s="36" t="s">
        <v>1406</v>
      </c>
      <c r="C14" s="4">
        <v>12</v>
      </c>
      <c r="D14" s="125" t="s">
        <v>20</v>
      </c>
      <c r="E14" s="11" t="s">
        <v>279</v>
      </c>
      <c r="F14" s="126" t="s">
        <v>52</v>
      </c>
      <c r="G14" s="126"/>
      <c r="H14" s="122" t="s">
        <v>262</v>
      </c>
      <c r="I14" s="123" t="s">
        <v>263</v>
      </c>
      <c r="J14" s="197" t="s">
        <v>1383</v>
      </c>
      <c r="K14" s="197"/>
      <c r="L14" s="197"/>
      <c r="M14" s="198"/>
      <c r="N14" s="198"/>
      <c r="O14" s="198"/>
      <c r="P14" s="197"/>
      <c r="Q14" s="106" t="b">
        <f t="shared" si="1"/>
        <v>1</v>
      </c>
      <c r="R14" s="199">
        <f t="shared" si="0"/>
        <v>1</v>
      </c>
    </row>
    <row r="15" spans="1:18" x14ac:dyDescent="0.25">
      <c r="A15" s="124">
        <v>1</v>
      </c>
      <c r="B15" s="36" t="s">
        <v>1406</v>
      </c>
      <c r="C15" s="4">
        <v>13</v>
      </c>
      <c r="D15" s="125" t="s">
        <v>21</v>
      </c>
      <c r="E15" s="11" t="s">
        <v>280</v>
      </c>
      <c r="F15" s="126" t="s">
        <v>52</v>
      </c>
      <c r="G15" s="126"/>
      <c r="H15" s="127" t="s">
        <v>312</v>
      </c>
      <c r="I15" s="11" t="s">
        <v>307</v>
      </c>
      <c r="J15" s="197"/>
      <c r="K15" s="197"/>
      <c r="L15" s="197"/>
      <c r="M15" s="198"/>
      <c r="N15" s="198"/>
      <c r="O15" s="198"/>
      <c r="P15" s="197"/>
      <c r="Q15" s="106" t="b">
        <f t="shared" si="1"/>
        <v>0</v>
      </c>
      <c r="R15" s="199">
        <f t="shared" si="0"/>
        <v>0</v>
      </c>
    </row>
    <row r="16" spans="1:18" x14ac:dyDescent="0.3">
      <c r="A16" s="124">
        <v>1</v>
      </c>
      <c r="B16" s="36" t="s">
        <v>1406</v>
      </c>
      <c r="C16" s="4">
        <v>14</v>
      </c>
      <c r="D16" s="125" t="s">
        <v>22</v>
      </c>
      <c r="E16" s="11" t="s">
        <v>281</v>
      </c>
      <c r="F16" s="126" t="s">
        <v>52</v>
      </c>
      <c r="G16" s="126"/>
      <c r="H16" s="122" t="s">
        <v>262</v>
      </c>
      <c r="I16" s="123" t="s">
        <v>263</v>
      </c>
      <c r="J16" s="197" t="s">
        <v>1383</v>
      </c>
      <c r="K16" s="197"/>
      <c r="L16" s="197"/>
      <c r="M16" s="198"/>
      <c r="N16" s="198"/>
      <c r="O16" s="198"/>
      <c r="P16" s="197"/>
      <c r="Q16" s="106" t="b">
        <f t="shared" si="1"/>
        <v>1</v>
      </c>
      <c r="R16" s="199">
        <f t="shared" si="0"/>
        <v>1</v>
      </c>
    </row>
    <row r="17" spans="1:18" x14ac:dyDescent="0.3">
      <c r="A17" s="124">
        <v>1</v>
      </c>
      <c r="B17" s="36" t="s">
        <v>1406</v>
      </c>
      <c r="C17" s="4">
        <v>15</v>
      </c>
      <c r="D17" s="125" t="s">
        <v>23</v>
      </c>
      <c r="E17" s="11" t="s">
        <v>282</v>
      </c>
      <c r="F17" s="126" t="s">
        <v>52</v>
      </c>
      <c r="G17" s="126"/>
      <c r="H17" s="122" t="s">
        <v>262</v>
      </c>
      <c r="I17" s="123" t="s">
        <v>263</v>
      </c>
      <c r="J17" s="197"/>
      <c r="K17" s="197"/>
      <c r="L17" s="197"/>
      <c r="M17" s="198"/>
      <c r="N17" s="198"/>
      <c r="O17" s="198"/>
      <c r="P17" s="197"/>
      <c r="Q17" s="106" t="b">
        <f t="shared" si="1"/>
        <v>0</v>
      </c>
      <c r="R17" s="199">
        <f t="shared" si="0"/>
        <v>0</v>
      </c>
    </row>
    <row r="18" spans="1:18" x14ac:dyDescent="0.3">
      <c r="A18" s="124">
        <v>1</v>
      </c>
      <c r="B18" s="36" t="s">
        <v>1406</v>
      </c>
      <c r="C18" s="4">
        <v>16</v>
      </c>
      <c r="D18" s="125" t="s">
        <v>24</v>
      </c>
      <c r="E18" s="11" t="s">
        <v>283</v>
      </c>
      <c r="F18" s="126" t="s">
        <v>52</v>
      </c>
      <c r="G18" s="126"/>
      <c r="H18" s="122" t="s">
        <v>314</v>
      </c>
      <c r="I18" s="130" t="s">
        <v>313</v>
      </c>
      <c r="J18" s="197" t="s">
        <v>1383</v>
      </c>
      <c r="K18" s="197"/>
      <c r="L18" s="197"/>
      <c r="M18" s="198"/>
      <c r="N18" s="198"/>
      <c r="O18" s="198"/>
      <c r="P18" s="197"/>
      <c r="Q18" s="106" t="b">
        <f t="shared" si="1"/>
        <v>1</v>
      </c>
      <c r="R18" s="199">
        <f t="shared" si="0"/>
        <v>1</v>
      </c>
    </row>
    <row r="19" spans="1:18" x14ac:dyDescent="0.25">
      <c r="A19" s="124">
        <v>1</v>
      </c>
      <c r="B19" s="36" t="s">
        <v>1406</v>
      </c>
      <c r="C19" s="4">
        <v>17</v>
      </c>
      <c r="D19" s="125" t="s">
        <v>25</v>
      </c>
      <c r="E19" s="11" t="s">
        <v>284</v>
      </c>
      <c r="F19" s="126"/>
      <c r="G19" s="128" t="s">
        <v>53</v>
      </c>
      <c r="H19" s="129" t="s">
        <v>312</v>
      </c>
      <c r="I19" s="128" t="s">
        <v>307</v>
      </c>
      <c r="J19" s="197"/>
      <c r="K19" s="197"/>
      <c r="L19" s="197"/>
      <c r="M19" s="198"/>
      <c r="N19" s="198"/>
      <c r="O19" s="198"/>
      <c r="P19" s="197"/>
      <c r="Q19" s="106" t="b">
        <f t="shared" si="1"/>
        <v>0</v>
      </c>
      <c r="R19" s="199">
        <f t="shared" si="0"/>
        <v>0</v>
      </c>
    </row>
    <row r="20" spans="1:18" x14ac:dyDescent="0.3">
      <c r="A20" s="124">
        <v>1</v>
      </c>
      <c r="B20" s="36" t="s">
        <v>1406</v>
      </c>
      <c r="C20" s="4">
        <v>18</v>
      </c>
      <c r="D20" s="125" t="s">
        <v>26</v>
      </c>
      <c r="E20" s="11" t="s">
        <v>285</v>
      </c>
      <c r="F20" s="126" t="s">
        <v>52</v>
      </c>
      <c r="G20" s="126"/>
      <c r="H20" s="122" t="s">
        <v>262</v>
      </c>
      <c r="I20" s="123" t="s">
        <v>263</v>
      </c>
      <c r="J20" s="197" t="s">
        <v>1383</v>
      </c>
      <c r="K20" s="197" t="s">
        <v>1383</v>
      </c>
      <c r="L20" s="197"/>
      <c r="M20" s="198"/>
      <c r="N20" s="198"/>
      <c r="O20" s="198"/>
      <c r="P20" s="197"/>
      <c r="Q20" s="106" t="b">
        <f t="shared" si="1"/>
        <v>1</v>
      </c>
      <c r="R20" s="199">
        <f t="shared" si="0"/>
        <v>2</v>
      </c>
    </row>
    <row r="21" spans="1:18" x14ac:dyDescent="0.25">
      <c r="A21" s="124">
        <v>1</v>
      </c>
      <c r="B21" s="36" t="s">
        <v>1406</v>
      </c>
      <c r="C21" s="4">
        <v>19</v>
      </c>
      <c r="D21" s="125" t="s">
        <v>27</v>
      </c>
      <c r="E21" s="11" t="s">
        <v>286</v>
      </c>
      <c r="F21" s="126"/>
      <c r="G21" s="128" t="s">
        <v>53</v>
      </c>
      <c r="H21" s="129" t="s">
        <v>312</v>
      </c>
      <c r="I21" s="128" t="s">
        <v>307</v>
      </c>
      <c r="J21" s="197"/>
      <c r="K21" s="197"/>
      <c r="L21" s="197"/>
      <c r="M21" s="198"/>
      <c r="N21" s="198"/>
      <c r="O21" s="198"/>
      <c r="P21" s="197"/>
      <c r="Q21" s="106" t="b">
        <f t="shared" si="1"/>
        <v>0</v>
      </c>
      <c r="R21" s="199">
        <f t="shared" si="0"/>
        <v>0</v>
      </c>
    </row>
    <row r="22" spans="1:18" x14ac:dyDescent="0.3">
      <c r="A22" s="124">
        <v>1</v>
      </c>
      <c r="B22" s="36" t="s">
        <v>1406</v>
      </c>
      <c r="C22" s="4">
        <v>20</v>
      </c>
      <c r="D22" s="125" t="s">
        <v>28</v>
      </c>
      <c r="E22" s="11" t="s">
        <v>287</v>
      </c>
      <c r="F22" s="126" t="s">
        <v>52</v>
      </c>
      <c r="G22" s="131"/>
      <c r="H22" s="122" t="s">
        <v>170</v>
      </c>
      <c r="I22" s="123" t="s">
        <v>265</v>
      </c>
      <c r="J22" s="197"/>
      <c r="K22" s="197"/>
      <c r="L22" s="197"/>
      <c r="M22" s="198"/>
      <c r="N22" s="198"/>
      <c r="O22" s="198"/>
      <c r="P22" s="197"/>
      <c r="Q22" s="106" t="b">
        <f t="shared" si="1"/>
        <v>0</v>
      </c>
      <c r="R22" s="199">
        <f t="shared" si="0"/>
        <v>0</v>
      </c>
    </row>
    <row r="23" spans="1:18" x14ac:dyDescent="0.25">
      <c r="A23" s="124">
        <v>1</v>
      </c>
      <c r="B23" s="36" t="s">
        <v>1406</v>
      </c>
      <c r="C23" s="4">
        <v>21</v>
      </c>
      <c r="D23" s="125" t="s">
        <v>29</v>
      </c>
      <c r="E23" s="11" t="s">
        <v>288</v>
      </c>
      <c r="F23" s="128"/>
      <c r="G23" s="128" t="s">
        <v>53</v>
      </c>
      <c r="H23" s="129" t="s">
        <v>312</v>
      </c>
      <c r="I23" s="128" t="s">
        <v>307</v>
      </c>
      <c r="J23" s="197"/>
      <c r="K23" s="197"/>
      <c r="L23" s="197"/>
      <c r="M23" s="198"/>
      <c r="N23" s="198"/>
      <c r="O23" s="198"/>
      <c r="P23" s="197"/>
      <c r="Q23" s="106" t="b">
        <f t="shared" si="1"/>
        <v>0</v>
      </c>
      <c r="R23" s="199">
        <f t="shared" si="0"/>
        <v>0</v>
      </c>
    </row>
    <row r="24" spans="1:18" x14ac:dyDescent="0.3">
      <c r="A24" s="124">
        <v>1</v>
      </c>
      <c r="B24" s="36" t="s">
        <v>1406</v>
      </c>
      <c r="C24" s="4">
        <v>22</v>
      </c>
      <c r="D24" s="125" t="s">
        <v>51</v>
      </c>
      <c r="E24" s="11" t="s">
        <v>289</v>
      </c>
      <c r="F24" s="126" t="s">
        <v>52</v>
      </c>
      <c r="G24" s="126"/>
      <c r="H24" s="122" t="s">
        <v>262</v>
      </c>
      <c r="I24" s="123" t="s">
        <v>263</v>
      </c>
      <c r="J24" s="197" t="s">
        <v>1383</v>
      </c>
      <c r="K24" s="197"/>
      <c r="L24" s="197"/>
      <c r="M24" s="198"/>
      <c r="N24" s="198"/>
      <c r="O24" s="198"/>
      <c r="P24" s="197"/>
      <c r="Q24" s="106" t="b">
        <f t="shared" si="1"/>
        <v>1</v>
      </c>
      <c r="R24" s="199">
        <f t="shared" si="0"/>
        <v>1</v>
      </c>
    </row>
    <row r="25" spans="1:18" x14ac:dyDescent="0.3">
      <c r="A25" s="124">
        <v>1</v>
      </c>
      <c r="B25" s="36" t="s">
        <v>1406</v>
      </c>
      <c r="C25" s="4">
        <v>23</v>
      </c>
      <c r="D25" s="125" t="s">
        <v>30</v>
      </c>
      <c r="E25" s="11" t="s">
        <v>290</v>
      </c>
      <c r="F25" s="126" t="s">
        <v>52</v>
      </c>
      <c r="G25" s="126"/>
      <c r="H25" s="122" t="s">
        <v>262</v>
      </c>
      <c r="I25" s="123" t="s">
        <v>263</v>
      </c>
      <c r="J25" s="197" t="s">
        <v>1383</v>
      </c>
      <c r="K25" s="197"/>
      <c r="L25" s="197"/>
      <c r="M25" s="198"/>
      <c r="N25" s="198"/>
      <c r="O25" s="198"/>
      <c r="P25" s="197"/>
      <c r="Q25" s="106" t="b">
        <f t="shared" si="1"/>
        <v>1</v>
      </c>
      <c r="R25" s="199">
        <f t="shared" si="0"/>
        <v>1</v>
      </c>
    </row>
    <row r="26" spans="1:18" x14ac:dyDescent="0.3">
      <c r="A26" s="124">
        <v>1</v>
      </c>
      <c r="B26" s="36" t="s">
        <v>1406</v>
      </c>
      <c r="C26" s="4">
        <v>24</v>
      </c>
      <c r="D26" s="125" t="s">
        <v>31</v>
      </c>
      <c r="E26" s="11" t="s">
        <v>291</v>
      </c>
      <c r="F26" s="126" t="s">
        <v>52</v>
      </c>
      <c r="G26" s="126"/>
      <c r="H26" s="122" t="s">
        <v>314</v>
      </c>
      <c r="I26" s="130" t="s">
        <v>313</v>
      </c>
      <c r="J26" s="197" t="s">
        <v>1383</v>
      </c>
      <c r="K26" s="197"/>
      <c r="L26" s="197" t="s">
        <v>1383</v>
      </c>
      <c r="M26" s="198"/>
      <c r="N26" s="198"/>
      <c r="O26" s="198"/>
      <c r="P26" s="197"/>
      <c r="Q26" s="106" t="b">
        <f t="shared" si="1"/>
        <v>1</v>
      </c>
      <c r="R26" s="199">
        <f t="shared" si="0"/>
        <v>2</v>
      </c>
    </row>
    <row r="27" spans="1:18" x14ac:dyDescent="0.25">
      <c r="A27" s="124">
        <v>1</v>
      </c>
      <c r="B27" s="36" t="s">
        <v>1406</v>
      </c>
      <c r="C27" s="4">
        <v>25</v>
      </c>
      <c r="D27" s="125" t="s">
        <v>55</v>
      </c>
      <c r="E27" s="11" t="s">
        <v>292</v>
      </c>
      <c r="F27" s="128"/>
      <c r="G27" s="128" t="s">
        <v>53</v>
      </c>
      <c r="H27" s="129" t="s">
        <v>312</v>
      </c>
      <c r="I27" s="128" t="s">
        <v>307</v>
      </c>
      <c r="J27" s="197"/>
      <c r="K27" s="197"/>
      <c r="L27" s="197"/>
      <c r="M27" s="198"/>
      <c r="N27" s="198"/>
      <c r="O27" s="198"/>
      <c r="P27" s="197"/>
      <c r="Q27" s="106" t="b">
        <f t="shared" si="1"/>
        <v>0</v>
      </c>
      <c r="R27" s="199">
        <f t="shared" si="0"/>
        <v>0</v>
      </c>
    </row>
    <row r="28" spans="1:18" x14ac:dyDescent="0.3">
      <c r="A28" s="124">
        <v>1</v>
      </c>
      <c r="B28" s="36" t="s">
        <v>1406</v>
      </c>
      <c r="C28" s="4">
        <v>26</v>
      </c>
      <c r="D28" s="125" t="s">
        <v>32</v>
      </c>
      <c r="E28" s="11" t="s">
        <v>293</v>
      </c>
      <c r="F28" s="126" t="s">
        <v>52</v>
      </c>
      <c r="G28" s="126"/>
      <c r="H28" s="122" t="s">
        <v>262</v>
      </c>
      <c r="I28" s="123" t="s">
        <v>263</v>
      </c>
      <c r="J28" s="197" t="s">
        <v>1383</v>
      </c>
      <c r="K28" s="197"/>
      <c r="L28" s="197"/>
      <c r="M28" s="198"/>
      <c r="N28" s="198"/>
      <c r="O28" s="198"/>
      <c r="P28" s="197"/>
      <c r="Q28" s="106" t="b">
        <f t="shared" si="1"/>
        <v>1</v>
      </c>
      <c r="R28" s="199">
        <f t="shared" si="0"/>
        <v>1</v>
      </c>
    </row>
    <row r="29" spans="1:18" x14ac:dyDescent="0.3">
      <c r="A29" s="124">
        <v>1</v>
      </c>
      <c r="B29" s="36" t="s">
        <v>1406</v>
      </c>
      <c r="C29" s="4">
        <v>27</v>
      </c>
      <c r="D29" s="125" t="s">
        <v>33</v>
      </c>
      <c r="E29" s="11" t="s">
        <v>294</v>
      </c>
      <c r="F29" s="126" t="s">
        <v>52</v>
      </c>
      <c r="G29" s="126"/>
      <c r="H29" s="122" t="s">
        <v>262</v>
      </c>
      <c r="I29" s="123" t="s">
        <v>263</v>
      </c>
      <c r="J29" s="197"/>
      <c r="K29" s="197"/>
      <c r="L29" s="197"/>
      <c r="M29" s="198"/>
      <c r="N29" s="198"/>
      <c r="O29" s="198"/>
      <c r="P29" s="197"/>
      <c r="Q29" s="106" t="b">
        <f t="shared" si="1"/>
        <v>0</v>
      </c>
      <c r="R29" s="199">
        <f t="shared" si="0"/>
        <v>0</v>
      </c>
    </row>
    <row r="30" spans="1:18" x14ac:dyDescent="0.3">
      <c r="A30" s="124">
        <v>1</v>
      </c>
      <c r="B30" s="36" t="s">
        <v>1406</v>
      </c>
      <c r="C30" s="4">
        <v>28</v>
      </c>
      <c r="D30" s="125" t="s">
        <v>34</v>
      </c>
      <c r="E30" s="11" t="s">
        <v>295</v>
      </c>
      <c r="F30" s="126" t="s">
        <v>52</v>
      </c>
      <c r="G30" s="126"/>
      <c r="H30" s="122" t="s">
        <v>262</v>
      </c>
      <c r="I30" s="123" t="s">
        <v>263</v>
      </c>
      <c r="J30" s="197" t="s">
        <v>1383</v>
      </c>
      <c r="K30" s="197"/>
      <c r="L30" s="197"/>
      <c r="M30" s="198"/>
      <c r="N30" s="198"/>
      <c r="O30" s="198"/>
      <c r="P30" s="197"/>
      <c r="Q30" s="106" t="b">
        <f t="shared" si="1"/>
        <v>1</v>
      </c>
      <c r="R30" s="199">
        <f t="shared" si="0"/>
        <v>1</v>
      </c>
    </row>
    <row r="31" spans="1:18" x14ac:dyDescent="0.25">
      <c r="A31" s="124">
        <v>1</v>
      </c>
      <c r="B31" s="36" t="s">
        <v>1406</v>
      </c>
      <c r="C31" s="4">
        <v>29</v>
      </c>
      <c r="D31" s="125" t="s">
        <v>35</v>
      </c>
      <c r="E31" s="11" t="s">
        <v>296</v>
      </c>
      <c r="F31" s="128"/>
      <c r="G31" s="128" t="s">
        <v>53</v>
      </c>
      <c r="H31" s="129" t="s">
        <v>312</v>
      </c>
      <c r="I31" s="128" t="s">
        <v>307</v>
      </c>
      <c r="J31" s="197"/>
      <c r="K31" s="197"/>
      <c r="L31" s="197"/>
      <c r="M31" s="198"/>
      <c r="N31" s="198"/>
      <c r="O31" s="198"/>
      <c r="P31" s="197"/>
      <c r="Q31" s="106" t="b">
        <f t="shared" si="1"/>
        <v>0</v>
      </c>
      <c r="R31" s="199">
        <f t="shared" si="0"/>
        <v>0</v>
      </c>
    </row>
    <row r="32" spans="1:18" x14ac:dyDescent="0.3">
      <c r="A32" s="124">
        <v>1</v>
      </c>
      <c r="B32" s="36" t="s">
        <v>1406</v>
      </c>
      <c r="C32" s="4">
        <v>30</v>
      </c>
      <c r="D32" s="125" t="s">
        <v>36</v>
      </c>
      <c r="E32" s="11" t="s">
        <v>297</v>
      </c>
      <c r="F32" s="126" t="s">
        <v>52</v>
      </c>
      <c r="G32" s="126"/>
      <c r="H32" s="122" t="s">
        <v>262</v>
      </c>
      <c r="I32" s="123" t="s">
        <v>263</v>
      </c>
      <c r="J32" s="197"/>
      <c r="K32" s="197"/>
      <c r="L32" s="197"/>
      <c r="M32" s="198"/>
      <c r="N32" s="198"/>
      <c r="O32" s="198"/>
      <c r="P32" s="197"/>
      <c r="Q32" s="106" t="b">
        <f t="shared" si="1"/>
        <v>0</v>
      </c>
      <c r="R32" s="199">
        <f t="shared" si="0"/>
        <v>0</v>
      </c>
    </row>
    <row r="33" spans="1:18" x14ac:dyDescent="0.3">
      <c r="A33" s="124">
        <v>1</v>
      </c>
      <c r="B33" s="36" t="s">
        <v>1406</v>
      </c>
      <c r="C33" s="4">
        <v>31</v>
      </c>
      <c r="D33" s="125" t="s">
        <v>37</v>
      </c>
      <c r="E33" s="11" t="s">
        <v>298</v>
      </c>
      <c r="F33" s="126" t="s">
        <v>52</v>
      </c>
      <c r="G33" s="126"/>
      <c r="H33" s="122" t="s">
        <v>262</v>
      </c>
      <c r="I33" s="123" t="s">
        <v>263</v>
      </c>
      <c r="J33" s="197"/>
      <c r="K33" s="197"/>
      <c r="L33" s="197"/>
      <c r="M33" s="198"/>
      <c r="N33" s="198"/>
      <c r="O33" s="198"/>
      <c r="P33" s="197"/>
      <c r="Q33" s="106" t="b">
        <f t="shared" si="1"/>
        <v>0</v>
      </c>
      <c r="R33" s="199">
        <f t="shared" si="0"/>
        <v>0</v>
      </c>
    </row>
    <row r="34" spans="1:18" x14ac:dyDescent="0.3">
      <c r="A34" s="124">
        <v>1</v>
      </c>
      <c r="B34" s="36" t="s">
        <v>1406</v>
      </c>
      <c r="C34" s="4">
        <v>32</v>
      </c>
      <c r="D34" s="125" t="s">
        <v>38</v>
      </c>
      <c r="E34" s="11" t="s">
        <v>299</v>
      </c>
      <c r="F34" s="126" t="s">
        <v>52</v>
      </c>
      <c r="G34" s="126"/>
      <c r="H34" s="122" t="s">
        <v>314</v>
      </c>
      <c r="I34" s="130" t="s">
        <v>313</v>
      </c>
      <c r="J34" s="197" t="s">
        <v>1383</v>
      </c>
      <c r="K34" s="197"/>
      <c r="L34" s="197"/>
      <c r="M34" s="198"/>
      <c r="N34" s="198"/>
      <c r="O34" s="198"/>
      <c r="P34" s="197"/>
      <c r="Q34" s="106" t="b">
        <f t="shared" si="1"/>
        <v>1</v>
      </c>
      <c r="R34" s="199">
        <f t="shared" si="0"/>
        <v>1</v>
      </c>
    </row>
    <row r="35" spans="1:18" x14ac:dyDescent="0.3">
      <c r="A35" s="124">
        <v>1</v>
      </c>
      <c r="B35" s="36" t="s">
        <v>1406</v>
      </c>
      <c r="C35" s="4">
        <v>33</v>
      </c>
      <c r="D35" s="125" t="s">
        <v>39</v>
      </c>
      <c r="E35" s="11" t="s">
        <v>300</v>
      </c>
      <c r="F35" s="126" t="s">
        <v>52</v>
      </c>
      <c r="G35" s="126"/>
      <c r="H35" s="122" t="s">
        <v>262</v>
      </c>
      <c r="I35" s="123" t="s">
        <v>263</v>
      </c>
      <c r="J35" s="197" t="s">
        <v>1383</v>
      </c>
      <c r="K35" s="197"/>
      <c r="L35" s="197" t="s">
        <v>1383</v>
      </c>
      <c r="M35" s="198"/>
      <c r="N35" s="198"/>
      <c r="O35" s="198"/>
      <c r="P35" s="197"/>
      <c r="Q35" s="106" t="b">
        <f t="shared" si="1"/>
        <v>1</v>
      </c>
      <c r="R35" s="199">
        <f t="shared" si="0"/>
        <v>2</v>
      </c>
    </row>
    <row r="36" spans="1:18" x14ac:dyDescent="0.3">
      <c r="A36" s="124">
        <v>1</v>
      </c>
      <c r="B36" s="36" t="s">
        <v>1406</v>
      </c>
      <c r="C36" s="4">
        <v>34</v>
      </c>
      <c r="D36" s="125" t="s">
        <v>40</v>
      </c>
      <c r="E36" s="11" t="s">
        <v>301</v>
      </c>
      <c r="F36" s="126" t="s">
        <v>52</v>
      </c>
      <c r="G36" s="126"/>
      <c r="H36" s="122" t="s">
        <v>262</v>
      </c>
      <c r="I36" s="123" t="s">
        <v>263</v>
      </c>
      <c r="J36" s="197" t="s">
        <v>1383</v>
      </c>
      <c r="K36" s="197" t="s">
        <v>1383</v>
      </c>
      <c r="L36" s="197"/>
      <c r="M36" s="198"/>
      <c r="N36" s="198"/>
      <c r="O36" s="198"/>
      <c r="P36" s="197"/>
      <c r="Q36" s="106" t="b">
        <f t="shared" si="1"/>
        <v>1</v>
      </c>
      <c r="R36" s="199">
        <f t="shared" si="0"/>
        <v>2</v>
      </c>
    </row>
    <row r="37" spans="1:18" x14ac:dyDescent="0.3">
      <c r="A37" s="124">
        <v>1</v>
      </c>
      <c r="B37" s="36" t="s">
        <v>1406</v>
      </c>
      <c r="C37" s="4">
        <v>35</v>
      </c>
      <c r="D37" s="125" t="s">
        <v>41</v>
      </c>
      <c r="E37" s="11" t="s">
        <v>302</v>
      </c>
      <c r="F37" s="126" t="s">
        <v>52</v>
      </c>
      <c r="G37" s="126"/>
      <c r="H37" s="122" t="s">
        <v>262</v>
      </c>
      <c r="I37" s="123" t="s">
        <v>263</v>
      </c>
      <c r="J37" s="197"/>
      <c r="K37" s="197"/>
      <c r="L37" s="197"/>
      <c r="M37" s="198"/>
      <c r="N37" s="198"/>
      <c r="O37" s="198"/>
      <c r="P37" s="197"/>
      <c r="Q37" s="106" t="b">
        <f t="shared" si="1"/>
        <v>0</v>
      </c>
      <c r="R37" s="199">
        <f t="shared" si="0"/>
        <v>0</v>
      </c>
    </row>
    <row r="38" spans="1:18" x14ac:dyDescent="0.3">
      <c r="A38" s="124">
        <v>1</v>
      </c>
      <c r="B38" s="36" t="s">
        <v>1406</v>
      </c>
      <c r="C38" s="4">
        <v>36</v>
      </c>
      <c r="D38" s="125" t="s">
        <v>42</v>
      </c>
      <c r="E38" s="11" t="s">
        <v>303</v>
      </c>
      <c r="F38" s="126" t="s">
        <v>52</v>
      </c>
      <c r="G38" s="126"/>
      <c r="H38" s="122" t="s">
        <v>262</v>
      </c>
      <c r="I38" s="123" t="s">
        <v>263</v>
      </c>
      <c r="J38" s="197"/>
      <c r="K38" s="197"/>
      <c r="L38" s="197"/>
      <c r="M38" s="198"/>
      <c r="N38" s="198"/>
      <c r="O38" s="198"/>
      <c r="P38" s="197"/>
      <c r="Q38" s="106" t="b">
        <f t="shared" si="1"/>
        <v>0</v>
      </c>
      <c r="R38" s="199">
        <f t="shared" si="0"/>
        <v>0</v>
      </c>
    </row>
    <row r="39" spans="1:18" x14ac:dyDescent="0.3">
      <c r="A39" s="124">
        <v>1</v>
      </c>
      <c r="B39" s="36" t="s">
        <v>1406</v>
      </c>
      <c r="C39" s="4">
        <v>37</v>
      </c>
      <c r="D39" s="17" t="s">
        <v>43</v>
      </c>
      <c r="E39" s="38" t="s">
        <v>304</v>
      </c>
      <c r="F39" s="126" t="s">
        <v>52</v>
      </c>
      <c r="G39" s="126"/>
      <c r="H39" s="127" t="s">
        <v>312</v>
      </c>
      <c r="I39" s="11" t="s">
        <v>307</v>
      </c>
      <c r="J39" s="197" t="s">
        <v>1383</v>
      </c>
      <c r="K39" s="197"/>
      <c r="L39" s="197"/>
      <c r="M39" s="198"/>
      <c r="N39" s="198"/>
      <c r="O39" s="198"/>
      <c r="P39" s="197"/>
      <c r="Q39" s="106" t="b">
        <f t="shared" si="1"/>
        <v>1</v>
      </c>
      <c r="R39" s="199">
        <f t="shared" si="0"/>
        <v>1</v>
      </c>
    </row>
    <row r="40" spans="1:18" x14ac:dyDescent="0.3">
      <c r="A40" s="124">
        <v>1</v>
      </c>
      <c r="B40" s="36" t="s">
        <v>1406</v>
      </c>
      <c r="C40" s="4">
        <v>38</v>
      </c>
      <c r="D40" s="125" t="s">
        <v>44</v>
      </c>
      <c r="E40" s="11" t="s">
        <v>305</v>
      </c>
      <c r="F40" s="126" t="s">
        <v>52</v>
      </c>
      <c r="G40" s="126"/>
      <c r="H40" s="122" t="s">
        <v>262</v>
      </c>
      <c r="I40" s="123" t="s">
        <v>263</v>
      </c>
      <c r="J40" s="197"/>
      <c r="K40" s="197"/>
      <c r="L40" s="197"/>
      <c r="M40" s="198"/>
      <c r="N40" s="198"/>
      <c r="O40" s="198"/>
      <c r="P40" s="197"/>
      <c r="Q40" s="106" t="b">
        <f t="shared" si="1"/>
        <v>0</v>
      </c>
      <c r="R40" s="199">
        <f t="shared" si="0"/>
        <v>0</v>
      </c>
    </row>
    <row r="41" spans="1:18" x14ac:dyDescent="0.3">
      <c r="A41" s="124">
        <v>1</v>
      </c>
      <c r="B41" s="36" t="s">
        <v>1406</v>
      </c>
      <c r="C41" s="4">
        <v>39</v>
      </c>
      <c r="D41" s="125" t="s">
        <v>45</v>
      </c>
      <c r="E41" s="11" t="s">
        <v>306</v>
      </c>
      <c r="F41" s="126" t="s">
        <v>52</v>
      </c>
      <c r="G41" s="126"/>
      <c r="H41" s="122" t="s">
        <v>262</v>
      </c>
      <c r="I41" s="123" t="s">
        <v>263</v>
      </c>
      <c r="J41" s="197" t="s">
        <v>1383</v>
      </c>
      <c r="K41" s="197"/>
      <c r="L41" s="197"/>
      <c r="M41" s="198"/>
      <c r="N41" s="198"/>
      <c r="O41" s="198"/>
      <c r="P41" s="197"/>
      <c r="Q41" s="106" t="b">
        <f t="shared" si="1"/>
        <v>1</v>
      </c>
      <c r="R41" s="199">
        <f t="shared" si="0"/>
        <v>1</v>
      </c>
    </row>
    <row r="42" spans="1:18" x14ac:dyDescent="0.3">
      <c r="A42" s="124">
        <v>1</v>
      </c>
      <c r="B42" s="36" t="s">
        <v>1406</v>
      </c>
      <c r="C42" s="4">
        <v>40</v>
      </c>
      <c r="D42" s="125" t="s">
        <v>46</v>
      </c>
      <c r="E42" s="11" t="s">
        <v>307</v>
      </c>
      <c r="F42" s="126" t="s">
        <v>52</v>
      </c>
      <c r="G42" s="126"/>
      <c r="H42" s="122" t="s">
        <v>262</v>
      </c>
      <c r="I42" s="123" t="s">
        <v>263</v>
      </c>
      <c r="J42" s="197" t="s">
        <v>1383</v>
      </c>
      <c r="K42" s="197"/>
      <c r="L42" s="197"/>
      <c r="M42" s="198"/>
      <c r="N42" s="197" t="s">
        <v>1383</v>
      </c>
      <c r="O42" s="197"/>
      <c r="P42" s="197"/>
      <c r="Q42" s="106" t="b">
        <f t="shared" si="1"/>
        <v>1</v>
      </c>
      <c r="R42" s="199">
        <f t="shared" si="0"/>
        <v>2</v>
      </c>
    </row>
    <row r="43" spans="1:18" x14ac:dyDescent="0.3">
      <c r="A43" s="124">
        <v>1</v>
      </c>
      <c r="B43" s="36" t="s">
        <v>1406</v>
      </c>
      <c r="C43" s="4">
        <v>41</v>
      </c>
      <c r="D43" s="125" t="s">
        <v>47</v>
      </c>
      <c r="E43" s="11" t="s">
        <v>308</v>
      </c>
      <c r="F43" s="126" t="s">
        <v>52</v>
      </c>
      <c r="G43" s="126"/>
      <c r="H43" s="122" t="s">
        <v>262</v>
      </c>
      <c r="I43" s="123" t="s">
        <v>263</v>
      </c>
      <c r="J43" s="197" t="s">
        <v>1383</v>
      </c>
      <c r="K43" s="197"/>
      <c r="L43" s="197"/>
      <c r="M43" s="198"/>
      <c r="N43" s="198"/>
      <c r="O43" s="198"/>
      <c r="P43" s="197"/>
      <c r="Q43" s="106" t="b">
        <f t="shared" si="1"/>
        <v>1</v>
      </c>
      <c r="R43" s="199">
        <f t="shared" si="0"/>
        <v>1</v>
      </c>
    </row>
    <row r="44" spans="1:18" x14ac:dyDescent="0.3">
      <c r="A44" s="124">
        <v>1</v>
      </c>
      <c r="B44" s="36" t="s">
        <v>1406</v>
      </c>
      <c r="C44" s="4">
        <v>42</v>
      </c>
      <c r="D44" s="125" t="s">
        <v>48</v>
      </c>
      <c r="E44" s="11" t="s">
        <v>309</v>
      </c>
      <c r="F44" s="126" t="s">
        <v>52</v>
      </c>
      <c r="G44" s="126"/>
      <c r="H44" s="122" t="s">
        <v>314</v>
      </c>
      <c r="I44" s="130" t="s">
        <v>313</v>
      </c>
      <c r="J44" s="197" t="s">
        <v>1383</v>
      </c>
      <c r="K44" s="197"/>
      <c r="L44" s="197"/>
      <c r="M44" s="198"/>
      <c r="N44" s="198"/>
      <c r="O44" s="198"/>
      <c r="P44" s="197"/>
      <c r="Q44" s="106" t="b">
        <f t="shared" si="1"/>
        <v>1</v>
      </c>
      <c r="R44" s="199">
        <f t="shared" si="0"/>
        <v>1</v>
      </c>
    </row>
    <row r="45" spans="1:18" x14ac:dyDescent="0.3">
      <c r="A45" s="124">
        <v>1</v>
      </c>
      <c r="B45" s="36" t="s">
        <v>1406</v>
      </c>
      <c r="C45" s="4">
        <v>43</v>
      </c>
      <c r="D45" s="125" t="s">
        <v>49</v>
      </c>
      <c r="E45" s="11" t="s">
        <v>310</v>
      </c>
      <c r="F45" s="126" t="s">
        <v>52</v>
      </c>
      <c r="G45" s="126"/>
      <c r="H45" s="122" t="s">
        <v>314</v>
      </c>
      <c r="I45" s="130" t="s">
        <v>313</v>
      </c>
      <c r="J45" s="197"/>
      <c r="K45" s="197"/>
      <c r="L45" s="197"/>
      <c r="M45" s="198"/>
      <c r="N45" s="198"/>
      <c r="O45" s="198"/>
      <c r="P45" s="197"/>
      <c r="Q45" s="106" t="b">
        <f t="shared" si="1"/>
        <v>0</v>
      </c>
      <c r="R45" s="199">
        <f t="shared" si="0"/>
        <v>0</v>
      </c>
    </row>
    <row r="46" spans="1:18" ht="19.5" hidden="1" thickBot="1" x14ac:dyDescent="0.3">
      <c r="A46" s="132">
        <v>1</v>
      </c>
      <c r="B46" s="43" t="s">
        <v>1406</v>
      </c>
      <c r="C46" s="20">
        <v>44</v>
      </c>
      <c r="D46" s="133" t="s">
        <v>50</v>
      </c>
      <c r="E46" s="134" t="s">
        <v>311</v>
      </c>
      <c r="F46" s="135"/>
      <c r="G46" s="135" t="s">
        <v>53</v>
      </c>
      <c r="H46" s="136" t="s">
        <v>312</v>
      </c>
      <c r="I46" s="135" t="s">
        <v>307</v>
      </c>
      <c r="J46" s="200"/>
      <c r="K46" s="200"/>
      <c r="L46" s="200"/>
      <c r="M46" s="201"/>
      <c r="N46" s="201"/>
      <c r="O46" s="201"/>
      <c r="P46" s="200"/>
      <c r="Q46" s="244" t="b">
        <f t="shared" si="1"/>
        <v>0</v>
      </c>
      <c r="R46" s="202">
        <f t="shared" si="0"/>
        <v>0</v>
      </c>
    </row>
    <row r="47" spans="1:18" ht="19.5" hidden="1" thickBot="1" x14ac:dyDescent="0.3">
      <c r="A47" s="137">
        <f>A46</f>
        <v>1</v>
      </c>
      <c r="B47" s="138" t="str">
        <f>B46</f>
        <v>AURORA</v>
      </c>
      <c r="C47" s="15">
        <f>COUNTA(C3:C46)</f>
        <v>44</v>
      </c>
      <c r="D47" s="139" t="s">
        <v>1</v>
      </c>
      <c r="E47" s="139" t="s">
        <v>1374</v>
      </c>
      <c r="F47" s="15">
        <f>COUNTA(F3:F46)</f>
        <v>37</v>
      </c>
      <c r="G47" s="15">
        <f>COUNTA(G3:G46)</f>
        <v>7</v>
      </c>
      <c r="H47" s="291" t="s">
        <v>3</v>
      </c>
      <c r="I47" s="292"/>
      <c r="J47" s="15">
        <f t="shared" ref="J47:O47" si="2">COUNTA(J3:J46)</f>
        <v>25</v>
      </c>
      <c r="K47" s="15">
        <f t="shared" si="2"/>
        <v>2</v>
      </c>
      <c r="L47" s="15">
        <f t="shared" si="2"/>
        <v>2</v>
      </c>
      <c r="M47" s="15">
        <f t="shared" si="2"/>
        <v>0</v>
      </c>
      <c r="N47" s="15">
        <f t="shared" si="2"/>
        <v>3</v>
      </c>
      <c r="O47" s="15">
        <f t="shared" si="2"/>
        <v>1</v>
      </c>
      <c r="P47" s="15">
        <f>COUNTA(P3:P46)</f>
        <v>0</v>
      </c>
      <c r="Q47" s="22">
        <f>COUNTIF(Q3:Q46,TRUE)</f>
        <v>25</v>
      </c>
      <c r="R47" s="249">
        <f>SUM(J47:P47)</f>
        <v>33</v>
      </c>
    </row>
    <row r="48" spans="1:18" x14ac:dyDescent="0.3">
      <c r="A48" s="140">
        <v>2</v>
      </c>
      <c r="B48" s="36" t="s">
        <v>83</v>
      </c>
      <c r="C48" s="141">
        <v>1</v>
      </c>
      <c r="D48" s="120" t="s">
        <v>57</v>
      </c>
      <c r="E48" s="10"/>
      <c r="F48" s="142"/>
      <c r="G48" s="248" t="s">
        <v>53</v>
      </c>
      <c r="H48" s="142"/>
      <c r="I48" s="144"/>
      <c r="J48" s="194"/>
      <c r="K48" s="194"/>
      <c r="L48" s="194"/>
      <c r="M48" s="195"/>
      <c r="N48" s="195"/>
      <c r="O48" s="195"/>
      <c r="P48" s="194"/>
      <c r="Q48" s="106" t="b">
        <f t="shared" si="1"/>
        <v>0</v>
      </c>
      <c r="R48" s="196">
        <f t="shared" si="0"/>
        <v>0</v>
      </c>
    </row>
    <row r="49" spans="1:18" x14ac:dyDescent="0.3">
      <c r="A49" s="140">
        <v>2</v>
      </c>
      <c r="B49" s="36" t="s">
        <v>83</v>
      </c>
      <c r="C49" s="8">
        <v>2</v>
      </c>
      <c r="D49" s="125" t="s">
        <v>58</v>
      </c>
      <c r="E49" s="11"/>
      <c r="F49" s="122"/>
      <c r="G49" s="143" t="s">
        <v>53</v>
      </c>
      <c r="H49" s="122"/>
      <c r="I49" s="123"/>
      <c r="J49" s="197"/>
      <c r="K49" s="197"/>
      <c r="L49" s="197"/>
      <c r="M49" s="198"/>
      <c r="N49" s="198"/>
      <c r="O49" s="198"/>
      <c r="P49" s="197"/>
      <c r="Q49" s="106" t="b">
        <f t="shared" si="1"/>
        <v>0</v>
      </c>
      <c r="R49" s="199">
        <f t="shared" si="0"/>
        <v>0</v>
      </c>
    </row>
    <row r="50" spans="1:18" x14ac:dyDescent="0.3">
      <c r="A50" s="140">
        <v>2</v>
      </c>
      <c r="B50" s="36" t="s">
        <v>83</v>
      </c>
      <c r="C50" s="8">
        <v>3</v>
      </c>
      <c r="D50" s="125" t="s">
        <v>59</v>
      </c>
      <c r="E50" s="11"/>
      <c r="F50" s="122"/>
      <c r="G50" s="143" t="s">
        <v>53</v>
      </c>
      <c r="H50" s="122"/>
      <c r="I50" s="123"/>
      <c r="J50" s="197"/>
      <c r="K50" s="197"/>
      <c r="L50" s="197"/>
      <c r="M50" s="198"/>
      <c r="N50" s="198"/>
      <c r="O50" s="198"/>
      <c r="P50" s="197"/>
      <c r="Q50" s="106" t="b">
        <f t="shared" si="1"/>
        <v>0</v>
      </c>
      <c r="R50" s="199">
        <f t="shared" si="0"/>
        <v>0</v>
      </c>
    </row>
    <row r="51" spans="1:18" x14ac:dyDescent="0.3">
      <c r="A51" s="140">
        <v>2</v>
      </c>
      <c r="B51" s="36" t="s">
        <v>83</v>
      </c>
      <c r="C51" s="8">
        <v>4</v>
      </c>
      <c r="D51" s="125" t="s">
        <v>60</v>
      </c>
      <c r="E51" s="11"/>
      <c r="F51" s="122"/>
      <c r="G51" s="143" t="s">
        <v>53</v>
      </c>
      <c r="H51" s="122"/>
      <c r="I51" s="123"/>
      <c r="J51" s="197"/>
      <c r="K51" s="197"/>
      <c r="L51" s="197"/>
      <c r="M51" s="198"/>
      <c r="N51" s="198"/>
      <c r="O51" s="198"/>
      <c r="P51" s="197"/>
      <c r="Q51" s="106" t="b">
        <f t="shared" si="1"/>
        <v>0</v>
      </c>
      <c r="R51" s="199">
        <f t="shared" si="0"/>
        <v>0</v>
      </c>
    </row>
    <row r="52" spans="1:18" x14ac:dyDescent="0.3">
      <c r="A52" s="140">
        <v>2</v>
      </c>
      <c r="B52" s="36" t="s">
        <v>83</v>
      </c>
      <c r="C52" s="8">
        <v>5</v>
      </c>
      <c r="D52" s="125" t="s">
        <v>61</v>
      </c>
      <c r="E52" s="11"/>
      <c r="F52" s="122"/>
      <c r="G52" s="143" t="s">
        <v>53</v>
      </c>
      <c r="H52" s="122"/>
      <c r="I52" s="123"/>
      <c r="J52" s="197"/>
      <c r="K52" s="197"/>
      <c r="L52" s="197"/>
      <c r="M52" s="198"/>
      <c r="N52" s="198"/>
      <c r="O52" s="198"/>
      <c r="P52" s="197"/>
      <c r="Q52" s="106" t="b">
        <f t="shared" si="1"/>
        <v>0</v>
      </c>
      <c r="R52" s="199">
        <f t="shared" si="0"/>
        <v>0</v>
      </c>
    </row>
    <row r="53" spans="1:18" x14ac:dyDescent="0.3">
      <c r="A53" s="140">
        <v>2</v>
      </c>
      <c r="B53" s="36" t="s">
        <v>83</v>
      </c>
      <c r="C53" s="8">
        <v>6</v>
      </c>
      <c r="D53" s="125" t="s">
        <v>62</v>
      </c>
      <c r="E53" s="11"/>
      <c r="F53" s="122"/>
      <c r="G53" s="143" t="s">
        <v>53</v>
      </c>
      <c r="H53" s="122"/>
      <c r="I53" s="123"/>
      <c r="J53" s="197"/>
      <c r="K53" s="197"/>
      <c r="L53" s="197"/>
      <c r="M53" s="198"/>
      <c r="N53" s="198"/>
      <c r="O53" s="198"/>
      <c r="P53" s="197"/>
      <c r="Q53" s="106" t="b">
        <f t="shared" si="1"/>
        <v>0</v>
      </c>
      <c r="R53" s="199">
        <f t="shared" si="0"/>
        <v>0</v>
      </c>
    </row>
    <row r="54" spans="1:18" x14ac:dyDescent="0.3">
      <c r="A54" s="140">
        <v>2</v>
      </c>
      <c r="B54" s="36" t="s">
        <v>83</v>
      </c>
      <c r="C54" s="8">
        <v>7</v>
      </c>
      <c r="D54" s="125" t="s">
        <v>63</v>
      </c>
      <c r="E54" s="11"/>
      <c r="F54" s="122"/>
      <c r="G54" s="143" t="s">
        <v>53</v>
      </c>
      <c r="H54" s="122"/>
      <c r="I54" s="123"/>
      <c r="J54" s="197"/>
      <c r="K54" s="197"/>
      <c r="L54" s="197"/>
      <c r="M54" s="198"/>
      <c r="N54" s="198"/>
      <c r="O54" s="198"/>
      <c r="P54" s="197"/>
      <c r="Q54" s="106" t="b">
        <f t="shared" si="1"/>
        <v>0</v>
      </c>
      <c r="R54" s="199">
        <f t="shared" si="0"/>
        <v>0</v>
      </c>
    </row>
    <row r="55" spans="1:18" x14ac:dyDescent="0.3">
      <c r="A55" s="140">
        <v>2</v>
      </c>
      <c r="B55" s="36" t="s">
        <v>83</v>
      </c>
      <c r="C55" s="8">
        <v>8</v>
      </c>
      <c r="D55" s="125" t="s">
        <v>64</v>
      </c>
      <c r="E55" s="11"/>
      <c r="F55" s="122"/>
      <c r="G55" s="143" t="s">
        <v>53</v>
      </c>
      <c r="H55" s="122"/>
      <c r="I55" s="123"/>
      <c r="J55" s="197"/>
      <c r="K55" s="197"/>
      <c r="L55" s="197"/>
      <c r="M55" s="198"/>
      <c r="N55" s="198"/>
      <c r="O55" s="198"/>
      <c r="P55" s="197"/>
      <c r="Q55" s="106" t="b">
        <f t="shared" si="1"/>
        <v>0</v>
      </c>
      <c r="R55" s="199">
        <f t="shared" si="0"/>
        <v>0</v>
      </c>
    </row>
    <row r="56" spans="1:18" x14ac:dyDescent="0.3">
      <c r="A56" s="140">
        <v>2</v>
      </c>
      <c r="B56" s="36" t="s">
        <v>83</v>
      </c>
      <c r="C56" s="8">
        <v>9</v>
      </c>
      <c r="D56" s="125" t="s">
        <v>65</v>
      </c>
      <c r="E56" s="11"/>
      <c r="F56" s="122"/>
      <c r="G56" s="143" t="s">
        <v>53</v>
      </c>
      <c r="H56" s="122"/>
      <c r="I56" s="123"/>
      <c r="J56" s="197"/>
      <c r="K56" s="197"/>
      <c r="L56" s="197"/>
      <c r="M56" s="198"/>
      <c r="N56" s="198"/>
      <c r="O56" s="198"/>
      <c r="P56" s="197"/>
      <c r="Q56" s="106" t="b">
        <f t="shared" si="1"/>
        <v>0</v>
      </c>
      <c r="R56" s="199">
        <f t="shared" si="0"/>
        <v>0</v>
      </c>
    </row>
    <row r="57" spans="1:18" x14ac:dyDescent="0.3">
      <c r="A57" s="140">
        <v>2</v>
      </c>
      <c r="B57" s="36" t="s">
        <v>83</v>
      </c>
      <c r="C57" s="8">
        <v>10</v>
      </c>
      <c r="D57" s="125" t="s">
        <v>66</v>
      </c>
      <c r="E57" s="11"/>
      <c r="F57" s="122"/>
      <c r="G57" s="143" t="s">
        <v>53</v>
      </c>
      <c r="H57" s="122"/>
      <c r="I57" s="123"/>
      <c r="J57" s="197"/>
      <c r="K57" s="197"/>
      <c r="L57" s="197"/>
      <c r="M57" s="198"/>
      <c r="N57" s="198"/>
      <c r="O57" s="198"/>
      <c r="P57" s="197"/>
      <c r="Q57" s="106" t="b">
        <f t="shared" si="1"/>
        <v>0</v>
      </c>
      <c r="R57" s="199">
        <f t="shared" si="0"/>
        <v>0</v>
      </c>
    </row>
    <row r="58" spans="1:18" x14ac:dyDescent="0.3">
      <c r="A58" s="140">
        <v>2</v>
      </c>
      <c r="B58" s="36" t="s">
        <v>83</v>
      </c>
      <c r="C58" s="8">
        <v>11</v>
      </c>
      <c r="D58" s="125" t="s">
        <v>67</v>
      </c>
      <c r="E58" s="11"/>
      <c r="F58" s="122"/>
      <c r="G58" s="143" t="s">
        <v>53</v>
      </c>
      <c r="H58" s="122"/>
      <c r="I58" s="123"/>
      <c r="J58" s="197"/>
      <c r="K58" s="197"/>
      <c r="L58" s="197"/>
      <c r="M58" s="198"/>
      <c r="N58" s="198"/>
      <c r="O58" s="198"/>
      <c r="P58" s="197"/>
      <c r="Q58" s="106" t="b">
        <f t="shared" si="1"/>
        <v>0</v>
      </c>
      <c r="R58" s="199">
        <f t="shared" si="0"/>
        <v>0</v>
      </c>
    </row>
    <row r="59" spans="1:18" x14ac:dyDescent="0.3">
      <c r="A59" s="140">
        <v>2</v>
      </c>
      <c r="B59" s="36" t="s">
        <v>83</v>
      </c>
      <c r="C59" s="8">
        <v>12</v>
      </c>
      <c r="D59" s="125" t="s">
        <v>68</v>
      </c>
      <c r="E59" s="11"/>
      <c r="F59" s="122"/>
      <c r="G59" s="143" t="s">
        <v>53</v>
      </c>
      <c r="H59" s="122"/>
      <c r="I59" s="123"/>
      <c r="J59" s="197"/>
      <c r="K59" s="197"/>
      <c r="L59" s="197"/>
      <c r="M59" s="198"/>
      <c r="N59" s="198"/>
      <c r="O59" s="198"/>
      <c r="P59" s="197"/>
      <c r="Q59" s="106" t="b">
        <f t="shared" si="1"/>
        <v>0</v>
      </c>
      <c r="R59" s="199">
        <f t="shared" si="0"/>
        <v>0</v>
      </c>
    </row>
    <row r="60" spans="1:18" x14ac:dyDescent="0.3">
      <c r="A60" s="140">
        <v>2</v>
      </c>
      <c r="B60" s="36" t="s">
        <v>83</v>
      </c>
      <c r="C60" s="8">
        <v>13</v>
      </c>
      <c r="D60" s="125" t="s">
        <v>69</v>
      </c>
      <c r="E60" s="11"/>
      <c r="F60" s="122"/>
      <c r="G60" s="143" t="s">
        <v>53</v>
      </c>
      <c r="H60" s="122"/>
      <c r="I60" s="123"/>
      <c r="J60" s="197"/>
      <c r="K60" s="197"/>
      <c r="L60" s="197"/>
      <c r="M60" s="198"/>
      <c r="N60" s="198"/>
      <c r="O60" s="198"/>
      <c r="P60" s="197"/>
      <c r="Q60" s="106" t="b">
        <f t="shared" si="1"/>
        <v>0</v>
      </c>
      <c r="R60" s="199">
        <f t="shared" si="0"/>
        <v>0</v>
      </c>
    </row>
    <row r="61" spans="1:18" x14ac:dyDescent="0.3">
      <c r="A61" s="140">
        <v>2</v>
      </c>
      <c r="B61" s="36" t="s">
        <v>83</v>
      </c>
      <c r="C61" s="8">
        <v>14</v>
      </c>
      <c r="D61" s="125" t="s">
        <v>70</v>
      </c>
      <c r="E61" s="11"/>
      <c r="F61" s="122"/>
      <c r="G61" s="143" t="s">
        <v>53</v>
      </c>
      <c r="H61" s="122"/>
      <c r="I61" s="123"/>
      <c r="J61" s="197"/>
      <c r="K61" s="197"/>
      <c r="L61" s="197"/>
      <c r="M61" s="198"/>
      <c r="N61" s="198"/>
      <c r="O61" s="198"/>
      <c r="P61" s="197"/>
      <c r="Q61" s="106" t="b">
        <f t="shared" si="1"/>
        <v>0</v>
      </c>
      <c r="R61" s="199">
        <f t="shared" si="0"/>
        <v>0</v>
      </c>
    </row>
    <row r="62" spans="1:18" x14ac:dyDescent="0.3">
      <c r="A62" s="140">
        <v>2</v>
      </c>
      <c r="B62" s="36" t="s">
        <v>83</v>
      </c>
      <c r="C62" s="8">
        <v>15</v>
      </c>
      <c r="D62" s="125" t="s">
        <v>71</v>
      </c>
      <c r="E62" s="11"/>
      <c r="F62" s="122"/>
      <c r="G62" s="143" t="s">
        <v>53</v>
      </c>
      <c r="H62" s="122"/>
      <c r="I62" s="123"/>
      <c r="J62" s="197"/>
      <c r="K62" s="197"/>
      <c r="L62" s="197"/>
      <c r="M62" s="198"/>
      <c r="N62" s="198"/>
      <c r="O62" s="198"/>
      <c r="P62" s="197"/>
      <c r="Q62" s="106" t="b">
        <f t="shared" si="1"/>
        <v>0</v>
      </c>
      <c r="R62" s="199">
        <f t="shared" si="0"/>
        <v>0</v>
      </c>
    </row>
    <row r="63" spans="1:18" x14ac:dyDescent="0.3">
      <c r="A63" s="140">
        <v>2</v>
      </c>
      <c r="B63" s="36" t="s">
        <v>83</v>
      </c>
      <c r="C63" s="8">
        <v>16</v>
      </c>
      <c r="D63" s="125" t="s">
        <v>72</v>
      </c>
      <c r="E63" s="11"/>
      <c r="F63" s="122"/>
      <c r="G63" s="143" t="s">
        <v>53</v>
      </c>
      <c r="H63" s="122"/>
      <c r="I63" s="123"/>
      <c r="J63" s="197"/>
      <c r="K63" s="197"/>
      <c r="L63" s="197"/>
      <c r="M63" s="198"/>
      <c r="N63" s="198"/>
      <c r="O63" s="198"/>
      <c r="P63" s="197"/>
      <c r="Q63" s="106" t="b">
        <f t="shared" si="1"/>
        <v>0</v>
      </c>
      <c r="R63" s="199">
        <f t="shared" si="0"/>
        <v>0</v>
      </c>
    </row>
    <row r="64" spans="1:18" x14ac:dyDescent="0.3">
      <c r="A64" s="140">
        <v>2</v>
      </c>
      <c r="B64" s="36" t="s">
        <v>83</v>
      </c>
      <c r="C64" s="8">
        <v>17</v>
      </c>
      <c r="D64" s="125" t="s">
        <v>73</v>
      </c>
      <c r="E64" s="11"/>
      <c r="F64" s="122"/>
      <c r="G64" s="143" t="s">
        <v>53</v>
      </c>
      <c r="H64" s="122"/>
      <c r="I64" s="123"/>
      <c r="J64" s="197"/>
      <c r="K64" s="197"/>
      <c r="L64" s="197"/>
      <c r="M64" s="198"/>
      <c r="N64" s="198"/>
      <c r="O64" s="198"/>
      <c r="P64" s="197"/>
      <c r="Q64" s="106" t="b">
        <f t="shared" si="1"/>
        <v>0</v>
      </c>
      <c r="R64" s="199">
        <f t="shared" si="0"/>
        <v>0</v>
      </c>
    </row>
    <row r="65" spans="1:18" x14ac:dyDescent="0.3">
      <c r="A65" s="140">
        <v>2</v>
      </c>
      <c r="B65" s="36" t="s">
        <v>83</v>
      </c>
      <c r="C65" s="8">
        <v>18</v>
      </c>
      <c r="D65" s="125" t="s">
        <v>74</v>
      </c>
      <c r="E65" s="11"/>
      <c r="F65" s="122"/>
      <c r="G65" s="143" t="s">
        <v>53</v>
      </c>
      <c r="H65" s="122"/>
      <c r="I65" s="123"/>
      <c r="J65" s="197"/>
      <c r="K65" s="197"/>
      <c r="L65" s="197"/>
      <c r="M65" s="198"/>
      <c r="N65" s="198"/>
      <c r="O65" s="198"/>
      <c r="P65" s="197"/>
      <c r="Q65" s="106" t="b">
        <f t="shared" si="1"/>
        <v>0</v>
      </c>
      <c r="R65" s="199">
        <f t="shared" si="0"/>
        <v>0</v>
      </c>
    </row>
    <row r="66" spans="1:18" x14ac:dyDescent="0.3">
      <c r="A66" s="140">
        <v>2</v>
      </c>
      <c r="B66" s="36" t="s">
        <v>83</v>
      </c>
      <c r="C66" s="8">
        <v>19</v>
      </c>
      <c r="D66" s="125" t="s">
        <v>75</v>
      </c>
      <c r="E66" s="11"/>
      <c r="F66" s="122"/>
      <c r="G66" s="143" t="s">
        <v>53</v>
      </c>
      <c r="H66" s="122"/>
      <c r="I66" s="123"/>
      <c r="J66" s="197"/>
      <c r="K66" s="197"/>
      <c r="L66" s="197"/>
      <c r="M66" s="198"/>
      <c r="N66" s="198"/>
      <c r="O66" s="198"/>
      <c r="P66" s="197"/>
      <c r="Q66" s="106" t="b">
        <f t="shared" si="1"/>
        <v>0</v>
      </c>
      <c r="R66" s="199">
        <f t="shared" si="0"/>
        <v>0</v>
      </c>
    </row>
    <row r="67" spans="1:18" x14ac:dyDescent="0.3">
      <c r="A67" s="140">
        <v>2</v>
      </c>
      <c r="B67" s="36" t="s">
        <v>83</v>
      </c>
      <c r="C67" s="8">
        <v>20</v>
      </c>
      <c r="D67" s="125" t="s">
        <v>76</v>
      </c>
      <c r="E67" s="11"/>
      <c r="F67" s="122"/>
      <c r="G67" s="143" t="s">
        <v>53</v>
      </c>
      <c r="H67" s="122"/>
      <c r="I67" s="123"/>
      <c r="J67" s="197"/>
      <c r="K67" s="197"/>
      <c r="L67" s="197"/>
      <c r="M67" s="198"/>
      <c r="N67" s="198"/>
      <c r="O67" s="198"/>
      <c r="P67" s="197"/>
      <c r="Q67" s="106" t="b">
        <f t="shared" si="1"/>
        <v>0</v>
      </c>
      <c r="R67" s="199">
        <f t="shared" si="0"/>
        <v>0</v>
      </c>
    </row>
    <row r="68" spans="1:18" x14ac:dyDescent="0.3">
      <c r="A68" s="140">
        <v>2</v>
      </c>
      <c r="B68" s="36" t="s">
        <v>83</v>
      </c>
      <c r="C68" s="8">
        <v>21</v>
      </c>
      <c r="D68" s="125" t="s">
        <v>77</v>
      </c>
      <c r="E68" s="11"/>
      <c r="F68" s="122"/>
      <c r="G68" s="143" t="s">
        <v>53</v>
      </c>
      <c r="H68" s="122"/>
      <c r="I68" s="123"/>
      <c r="J68" s="197"/>
      <c r="K68" s="197"/>
      <c r="L68" s="197"/>
      <c r="M68" s="198"/>
      <c r="N68" s="198"/>
      <c r="O68" s="198"/>
      <c r="P68" s="197"/>
      <c r="Q68" s="106" t="b">
        <f t="shared" si="1"/>
        <v>0</v>
      </c>
      <c r="R68" s="199">
        <f t="shared" ref="R68:R131" si="3">COUNTA(J68:P68)</f>
        <v>0</v>
      </c>
    </row>
    <row r="69" spans="1:18" x14ac:dyDescent="0.3">
      <c r="A69" s="140">
        <v>2</v>
      </c>
      <c r="B69" s="36" t="s">
        <v>83</v>
      </c>
      <c r="C69" s="8">
        <v>22</v>
      </c>
      <c r="D69" s="125" t="s">
        <v>78</v>
      </c>
      <c r="E69" s="11"/>
      <c r="F69" s="122"/>
      <c r="G69" s="143" t="s">
        <v>53</v>
      </c>
      <c r="H69" s="122"/>
      <c r="I69" s="123"/>
      <c r="J69" s="197"/>
      <c r="K69" s="197"/>
      <c r="L69" s="197"/>
      <c r="M69" s="198"/>
      <c r="N69" s="198"/>
      <c r="O69" s="198"/>
      <c r="P69" s="197"/>
      <c r="Q69" s="106" t="b">
        <f t="shared" ref="Q69:Q133" si="4">IF(COUNTA(J69:P69)=0,FALSE,TRUE)</f>
        <v>0</v>
      </c>
      <c r="R69" s="199">
        <f t="shared" si="3"/>
        <v>0</v>
      </c>
    </row>
    <row r="70" spans="1:18" x14ac:dyDescent="0.3">
      <c r="A70" s="140">
        <v>2</v>
      </c>
      <c r="B70" s="36" t="s">
        <v>83</v>
      </c>
      <c r="C70" s="8">
        <v>23</v>
      </c>
      <c r="D70" s="125" t="s">
        <v>84</v>
      </c>
      <c r="E70" s="11"/>
      <c r="F70" s="122"/>
      <c r="G70" s="143" t="s">
        <v>53</v>
      </c>
      <c r="H70" s="122"/>
      <c r="I70" s="123"/>
      <c r="J70" s="197"/>
      <c r="K70" s="197"/>
      <c r="L70" s="197"/>
      <c r="M70" s="198"/>
      <c r="N70" s="198"/>
      <c r="O70" s="198"/>
      <c r="P70" s="197"/>
      <c r="Q70" s="106" t="b">
        <f t="shared" si="4"/>
        <v>0</v>
      </c>
      <c r="R70" s="199">
        <f t="shared" si="3"/>
        <v>0</v>
      </c>
    </row>
    <row r="71" spans="1:18" x14ac:dyDescent="0.3">
      <c r="A71" s="140">
        <v>2</v>
      </c>
      <c r="B71" s="36" t="s">
        <v>83</v>
      </c>
      <c r="C71" s="8">
        <v>24</v>
      </c>
      <c r="D71" s="125" t="s">
        <v>43</v>
      </c>
      <c r="E71" s="11"/>
      <c r="F71" s="122"/>
      <c r="G71" s="143" t="s">
        <v>53</v>
      </c>
      <c r="H71" s="122"/>
      <c r="I71" s="123"/>
      <c r="J71" s="197"/>
      <c r="K71" s="197"/>
      <c r="L71" s="197"/>
      <c r="M71" s="198"/>
      <c r="N71" s="198"/>
      <c r="O71" s="198"/>
      <c r="P71" s="197"/>
      <c r="Q71" s="106" t="b">
        <f t="shared" si="4"/>
        <v>0</v>
      </c>
      <c r="R71" s="199">
        <f t="shared" si="3"/>
        <v>0</v>
      </c>
    </row>
    <row r="72" spans="1:18" x14ac:dyDescent="0.3">
      <c r="A72" s="140">
        <v>2</v>
      </c>
      <c r="B72" s="36" t="s">
        <v>83</v>
      </c>
      <c r="C72" s="8">
        <v>25</v>
      </c>
      <c r="D72" s="125" t="s">
        <v>79</v>
      </c>
      <c r="E72" s="11"/>
      <c r="F72" s="122"/>
      <c r="G72" s="143" t="s">
        <v>53</v>
      </c>
      <c r="H72" s="122"/>
      <c r="I72" s="123"/>
      <c r="J72" s="197"/>
      <c r="K72" s="197"/>
      <c r="L72" s="197"/>
      <c r="M72" s="198"/>
      <c r="N72" s="198"/>
      <c r="O72" s="198"/>
      <c r="P72" s="197"/>
      <c r="Q72" s="106" t="b">
        <f t="shared" si="4"/>
        <v>0</v>
      </c>
      <c r="R72" s="199">
        <f t="shared" si="3"/>
        <v>0</v>
      </c>
    </row>
    <row r="73" spans="1:18" x14ac:dyDescent="0.3">
      <c r="A73" s="140">
        <v>2</v>
      </c>
      <c r="B73" s="36" t="s">
        <v>83</v>
      </c>
      <c r="C73" s="8">
        <v>26</v>
      </c>
      <c r="D73" s="125" t="s">
        <v>80</v>
      </c>
      <c r="E73" s="11"/>
      <c r="F73" s="122"/>
      <c r="G73" s="143" t="s">
        <v>53</v>
      </c>
      <c r="H73" s="122"/>
      <c r="I73" s="123"/>
      <c r="J73" s="197"/>
      <c r="K73" s="197"/>
      <c r="L73" s="197"/>
      <c r="M73" s="198"/>
      <c r="N73" s="198"/>
      <c r="O73" s="198"/>
      <c r="P73" s="197"/>
      <c r="Q73" s="106" t="b">
        <f t="shared" si="4"/>
        <v>0</v>
      </c>
      <c r="R73" s="199">
        <f t="shared" si="3"/>
        <v>0</v>
      </c>
    </row>
    <row r="74" spans="1:18" x14ac:dyDescent="0.3">
      <c r="A74" s="140">
        <v>2</v>
      </c>
      <c r="B74" s="36" t="s">
        <v>83</v>
      </c>
      <c r="C74" s="8">
        <v>27</v>
      </c>
      <c r="D74" s="125" t="s">
        <v>81</v>
      </c>
      <c r="E74" s="11"/>
      <c r="F74" s="122"/>
      <c r="G74" s="143" t="s">
        <v>53</v>
      </c>
      <c r="H74" s="122"/>
      <c r="I74" s="123"/>
      <c r="J74" s="197"/>
      <c r="K74" s="197"/>
      <c r="L74" s="197"/>
      <c r="M74" s="198"/>
      <c r="N74" s="198"/>
      <c r="O74" s="198"/>
      <c r="P74" s="197"/>
      <c r="Q74" s="106" t="b">
        <f t="shared" si="4"/>
        <v>0</v>
      </c>
      <c r="R74" s="199">
        <f t="shared" si="3"/>
        <v>0</v>
      </c>
    </row>
    <row r="75" spans="1:18" ht="19.5" thickBot="1" x14ac:dyDescent="0.35">
      <c r="A75" s="145">
        <v>2</v>
      </c>
      <c r="B75" s="40" t="s">
        <v>83</v>
      </c>
      <c r="C75" s="8">
        <v>28</v>
      </c>
      <c r="D75" s="146" t="s">
        <v>82</v>
      </c>
      <c r="E75" s="12"/>
      <c r="F75" s="147"/>
      <c r="G75" s="143" t="s">
        <v>53</v>
      </c>
      <c r="H75" s="147"/>
      <c r="I75" s="148"/>
      <c r="J75" s="203"/>
      <c r="K75" s="203"/>
      <c r="L75" s="203"/>
      <c r="M75" s="204"/>
      <c r="N75" s="204"/>
      <c r="O75" s="204"/>
      <c r="P75" s="203"/>
      <c r="Q75" s="106" t="b">
        <f t="shared" si="4"/>
        <v>0</v>
      </c>
      <c r="R75" s="205">
        <f t="shared" si="3"/>
        <v>0</v>
      </c>
    </row>
    <row r="76" spans="1:18" ht="19.5" hidden="1" thickBot="1" x14ac:dyDescent="0.3">
      <c r="A76" s="137">
        <f>A75</f>
        <v>2</v>
      </c>
      <c r="B76" s="138" t="str">
        <f>B75</f>
        <v>BAYOG</v>
      </c>
      <c r="C76" s="15">
        <f>COUNTA(C48:C75)</f>
        <v>28</v>
      </c>
      <c r="D76" s="139" t="s">
        <v>1</v>
      </c>
      <c r="E76" s="139" t="s">
        <v>1374</v>
      </c>
      <c r="F76" s="15">
        <f>COUNTA(F48:F75)</f>
        <v>0</v>
      </c>
      <c r="G76" s="15">
        <f>COUNTA(G48:G75)</f>
        <v>28</v>
      </c>
      <c r="H76" s="291" t="s">
        <v>3</v>
      </c>
      <c r="I76" s="292"/>
      <c r="J76" s="15">
        <f t="shared" ref="J76:P76" si="5">COUNTA(J48:J75)</f>
        <v>0</v>
      </c>
      <c r="K76" s="15">
        <f t="shared" si="5"/>
        <v>0</v>
      </c>
      <c r="L76" s="15">
        <f t="shared" si="5"/>
        <v>0</v>
      </c>
      <c r="M76" s="15">
        <f t="shared" si="5"/>
        <v>0</v>
      </c>
      <c r="N76" s="15">
        <f t="shared" si="5"/>
        <v>0</v>
      </c>
      <c r="O76" s="15">
        <f t="shared" si="5"/>
        <v>0</v>
      </c>
      <c r="P76" s="15">
        <f t="shared" si="5"/>
        <v>0</v>
      </c>
      <c r="Q76" s="22">
        <f>COUNTIF(Q48:Q75,TRUE)</f>
        <v>0</v>
      </c>
      <c r="R76" s="249">
        <f>SUM(J76:P76)</f>
        <v>0</v>
      </c>
    </row>
    <row r="77" spans="1:18" x14ac:dyDescent="0.3">
      <c r="A77" s="119">
        <v>3</v>
      </c>
      <c r="B77" s="41" t="s">
        <v>107</v>
      </c>
      <c r="C77" s="149">
        <v>1</v>
      </c>
      <c r="D77" s="150" t="s">
        <v>85</v>
      </c>
      <c r="E77" s="42" t="s">
        <v>319</v>
      </c>
      <c r="F77" s="151" t="s">
        <v>52</v>
      </c>
      <c r="G77" s="152"/>
      <c r="H77" s="152" t="s">
        <v>343</v>
      </c>
      <c r="I77" s="153" t="s">
        <v>342</v>
      </c>
      <c r="J77" s="206"/>
      <c r="K77" s="206"/>
      <c r="L77" s="206"/>
      <c r="M77" s="207"/>
      <c r="N77" s="207"/>
      <c r="O77" s="207"/>
      <c r="P77" s="206"/>
      <c r="Q77" s="243" t="b">
        <f t="shared" si="4"/>
        <v>0</v>
      </c>
      <c r="R77" s="208">
        <f t="shared" si="3"/>
        <v>0</v>
      </c>
    </row>
    <row r="78" spans="1:18" x14ac:dyDescent="0.3">
      <c r="A78" s="124">
        <v>3</v>
      </c>
      <c r="B78" s="36" t="s">
        <v>107</v>
      </c>
      <c r="C78" s="8">
        <v>2</v>
      </c>
      <c r="D78" s="125" t="s">
        <v>86</v>
      </c>
      <c r="E78" s="11" t="s">
        <v>320</v>
      </c>
      <c r="F78" s="126" t="s">
        <v>52</v>
      </c>
      <c r="G78" s="122"/>
      <c r="H78" s="122" t="s">
        <v>344</v>
      </c>
      <c r="I78" s="123" t="s">
        <v>345</v>
      </c>
      <c r="J78" s="197"/>
      <c r="K78" s="197"/>
      <c r="L78" s="197"/>
      <c r="M78" s="198"/>
      <c r="N78" s="198"/>
      <c r="O78" s="198"/>
      <c r="P78" s="197"/>
      <c r="Q78" s="106" t="b">
        <f t="shared" si="4"/>
        <v>0</v>
      </c>
      <c r="R78" s="199">
        <f t="shared" si="3"/>
        <v>0</v>
      </c>
    </row>
    <row r="79" spans="1:18" x14ac:dyDescent="0.3">
      <c r="A79" s="124">
        <v>3</v>
      </c>
      <c r="B79" s="36" t="s">
        <v>107</v>
      </c>
      <c r="C79" s="8">
        <v>3</v>
      </c>
      <c r="D79" s="125" t="s">
        <v>87</v>
      </c>
      <c r="E79" s="11" t="s">
        <v>321</v>
      </c>
      <c r="F79" s="126" t="s">
        <v>52</v>
      </c>
      <c r="G79" s="122"/>
      <c r="H79" s="122" t="s">
        <v>346</v>
      </c>
      <c r="I79" s="123" t="s">
        <v>326</v>
      </c>
      <c r="J79" s="197"/>
      <c r="K79" s="197"/>
      <c r="L79" s="197"/>
      <c r="M79" s="198"/>
      <c r="N79" s="198"/>
      <c r="O79" s="198"/>
      <c r="P79" s="197"/>
      <c r="Q79" s="106" t="b">
        <f t="shared" si="4"/>
        <v>0</v>
      </c>
      <c r="R79" s="199">
        <f t="shared" si="3"/>
        <v>0</v>
      </c>
    </row>
    <row r="80" spans="1:18" x14ac:dyDescent="0.3">
      <c r="A80" s="124">
        <v>3</v>
      </c>
      <c r="B80" s="36" t="s">
        <v>107</v>
      </c>
      <c r="C80" s="8">
        <v>4</v>
      </c>
      <c r="D80" s="125" t="s">
        <v>88</v>
      </c>
      <c r="E80" s="11" t="s">
        <v>322</v>
      </c>
      <c r="F80" s="126" t="s">
        <v>52</v>
      </c>
      <c r="G80" s="122"/>
      <c r="H80" s="122" t="s">
        <v>344</v>
      </c>
      <c r="I80" s="123" t="s">
        <v>345</v>
      </c>
      <c r="J80" s="197" t="s">
        <v>1383</v>
      </c>
      <c r="K80" s="197"/>
      <c r="L80" s="197"/>
      <c r="M80" s="198"/>
      <c r="N80" s="198"/>
      <c r="O80" s="198"/>
      <c r="P80" s="197"/>
      <c r="Q80" s="106" t="b">
        <f t="shared" si="4"/>
        <v>1</v>
      </c>
      <c r="R80" s="199">
        <f t="shared" si="3"/>
        <v>1</v>
      </c>
    </row>
    <row r="81" spans="1:18" x14ac:dyDescent="0.3">
      <c r="A81" s="124">
        <v>3</v>
      </c>
      <c r="B81" s="36" t="s">
        <v>107</v>
      </c>
      <c r="C81" s="8">
        <v>5</v>
      </c>
      <c r="D81" s="125" t="s">
        <v>89</v>
      </c>
      <c r="E81" s="11" t="s">
        <v>323</v>
      </c>
      <c r="F81" s="126" t="s">
        <v>52</v>
      </c>
      <c r="G81" s="122"/>
      <c r="H81" s="122" t="s">
        <v>344</v>
      </c>
      <c r="I81" s="123" t="s">
        <v>345</v>
      </c>
      <c r="J81" s="197" t="s">
        <v>1383</v>
      </c>
      <c r="K81" s="197"/>
      <c r="L81" s="197"/>
      <c r="M81" s="198"/>
      <c r="N81" s="198"/>
      <c r="O81" s="198"/>
      <c r="P81" s="197"/>
      <c r="Q81" s="106" t="b">
        <f t="shared" si="4"/>
        <v>1</v>
      </c>
      <c r="R81" s="199">
        <f t="shared" si="3"/>
        <v>1</v>
      </c>
    </row>
    <row r="82" spans="1:18" x14ac:dyDescent="0.3">
      <c r="A82" s="124">
        <v>3</v>
      </c>
      <c r="B82" s="36" t="s">
        <v>107</v>
      </c>
      <c r="C82" s="8">
        <v>6</v>
      </c>
      <c r="D82" s="125" t="s">
        <v>90</v>
      </c>
      <c r="E82" s="11" t="s">
        <v>324</v>
      </c>
      <c r="F82" s="126" t="s">
        <v>52</v>
      </c>
      <c r="G82" s="122"/>
      <c r="H82" s="122" t="s">
        <v>346</v>
      </c>
      <c r="I82" s="123" t="s">
        <v>326</v>
      </c>
      <c r="J82" s="197" t="s">
        <v>1383</v>
      </c>
      <c r="K82" s="197"/>
      <c r="L82" s="197"/>
      <c r="M82" s="198"/>
      <c r="N82" s="198"/>
      <c r="O82" s="198"/>
      <c r="P82" s="197"/>
      <c r="Q82" s="106" t="b">
        <f t="shared" si="4"/>
        <v>1</v>
      </c>
      <c r="R82" s="199">
        <f t="shared" si="3"/>
        <v>1</v>
      </c>
    </row>
    <row r="83" spans="1:18" x14ac:dyDescent="0.3">
      <c r="A83" s="124">
        <v>3</v>
      </c>
      <c r="B83" s="36" t="s">
        <v>107</v>
      </c>
      <c r="C83" s="8">
        <v>7</v>
      </c>
      <c r="D83" s="125" t="s">
        <v>91</v>
      </c>
      <c r="E83" s="11" t="s">
        <v>316</v>
      </c>
      <c r="F83" s="126"/>
      <c r="G83" s="128" t="s">
        <v>53</v>
      </c>
      <c r="H83" s="154" t="s">
        <v>318</v>
      </c>
      <c r="I83" s="155" t="s">
        <v>317</v>
      </c>
      <c r="J83" s="197"/>
      <c r="K83" s="197"/>
      <c r="L83" s="197"/>
      <c r="M83" s="198"/>
      <c r="N83" s="198"/>
      <c r="O83" s="198"/>
      <c r="P83" s="197"/>
      <c r="Q83" s="106" t="b">
        <f t="shared" si="4"/>
        <v>0</v>
      </c>
      <c r="R83" s="199">
        <f t="shared" si="3"/>
        <v>0</v>
      </c>
    </row>
    <row r="84" spans="1:18" x14ac:dyDescent="0.3">
      <c r="A84" s="124">
        <v>3</v>
      </c>
      <c r="B84" s="36" t="s">
        <v>107</v>
      </c>
      <c r="C84" s="8">
        <v>8</v>
      </c>
      <c r="D84" s="125" t="s">
        <v>92</v>
      </c>
      <c r="E84" s="11" t="s">
        <v>325</v>
      </c>
      <c r="F84" s="126" t="s">
        <v>52</v>
      </c>
      <c r="G84" s="122"/>
      <c r="H84" s="122" t="s">
        <v>348</v>
      </c>
      <c r="I84" s="123" t="s">
        <v>347</v>
      </c>
      <c r="J84" s="197" t="s">
        <v>1383</v>
      </c>
      <c r="K84" s="197"/>
      <c r="L84" s="197"/>
      <c r="M84" s="198"/>
      <c r="N84" s="198" t="s">
        <v>1383</v>
      </c>
      <c r="O84" s="198"/>
      <c r="P84" s="197"/>
      <c r="Q84" s="106" t="b">
        <f t="shared" si="4"/>
        <v>1</v>
      </c>
      <c r="R84" s="199">
        <f t="shared" si="3"/>
        <v>2</v>
      </c>
    </row>
    <row r="85" spans="1:18" x14ac:dyDescent="0.3">
      <c r="A85" s="124">
        <v>3</v>
      </c>
      <c r="B85" s="36" t="s">
        <v>107</v>
      </c>
      <c r="C85" s="8">
        <v>9</v>
      </c>
      <c r="D85" s="125" t="s">
        <v>93</v>
      </c>
      <c r="E85" s="11" t="s">
        <v>326</v>
      </c>
      <c r="F85" s="126" t="s">
        <v>52</v>
      </c>
      <c r="G85" s="122"/>
      <c r="H85" s="122" t="s">
        <v>344</v>
      </c>
      <c r="I85" s="123" t="s">
        <v>345</v>
      </c>
      <c r="J85" s="197" t="s">
        <v>1383</v>
      </c>
      <c r="K85" s="197"/>
      <c r="L85" s="197"/>
      <c r="M85" s="198"/>
      <c r="N85" s="198" t="s">
        <v>1383</v>
      </c>
      <c r="O85" s="198"/>
      <c r="P85" s="197"/>
      <c r="Q85" s="106" t="b">
        <f t="shared" si="4"/>
        <v>1</v>
      </c>
      <c r="R85" s="199">
        <f t="shared" si="3"/>
        <v>2</v>
      </c>
    </row>
    <row r="86" spans="1:18" x14ac:dyDescent="0.3">
      <c r="A86" s="124">
        <v>3</v>
      </c>
      <c r="B86" s="36" t="s">
        <v>107</v>
      </c>
      <c r="C86" s="8">
        <v>10</v>
      </c>
      <c r="D86" s="125" t="s">
        <v>94</v>
      </c>
      <c r="E86" s="11" t="s">
        <v>327</v>
      </c>
      <c r="F86" s="126" t="s">
        <v>52</v>
      </c>
      <c r="G86" s="122"/>
      <c r="H86" s="122" t="s">
        <v>349</v>
      </c>
      <c r="I86" s="123" t="s">
        <v>328</v>
      </c>
      <c r="J86" s="197"/>
      <c r="K86" s="197"/>
      <c r="L86" s="197"/>
      <c r="M86" s="198"/>
      <c r="N86" s="198"/>
      <c r="O86" s="198"/>
      <c r="P86" s="197"/>
      <c r="Q86" s="106" t="b">
        <f t="shared" si="4"/>
        <v>0</v>
      </c>
      <c r="R86" s="199">
        <f t="shared" si="3"/>
        <v>0</v>
      </c>
    </row>
    <row r="87" spans="1:18" x14ac:dyDescent="0.3">
      <c r="A87" s="124">
        <v>3</v>
      </c>
      <c r="B87" s="36" t="s">
        <v>107</v>
      </c>
      <c r="C87" s="8">
        <v>11</v>
      </c>
      <c r="D87" s="125" t="s">
        <v>34</v>
      </c>
      <c r="E87" s="11" t="s">
        <v>328</v>
      </c>
      <c r="F87" s="126" t="s">
        <v>52</v>
      </c>
      <c r="G87" s="122"/>
      <c r="H87" s="122" t="s">
        <v>344</v>
      </c>
      <c r="I87" s="123" t="s">
        <v>345</v>
      </c>
      <c r="J87" s="197" t="s">
        <v>1383</v>
      </c>
      <c r="K87" s="197"/>
      <c r="L87" s="198" t="s">
        <v>1383</v>
      </c>
      <c r="M87" s="198"/>
      <c r="N87" s="198" t="s">
        <v>1383</v>
      </c>
      <c r="O87" s="198"/>
      <c r="P87" s="197"/>
      <c r="Q87" s="106" t="b">
        <f t="shared" si="4"/>
        <v>1</v>
      </c>
      <c r="R87" s="199">
        <f t="shared" si="3"/>
        <v>3</v>
      </c>
    </row>
    <row r="88" spans="1:18" x14ac:dyDescent="0.3">
      <c r="A88" s="124">
        <v>3</v>
      </c>
      <c r="B88" s="36" t="s">
        <v>107</v>
      </c>
      <c r="C88" s="8">
        <v>12</v>
      </c>
      <c r="D88" s="125" t="s">
        <v>95</v>
      </c>
      <c r="E88" s="11" t="s">
        <v>329</v>
      </c>
      <c r="F88" s="126" t="s">
        <v>52</v>
      </c>
      <c r="G88" s="128"/>
      <c r="H88" s="122" t="s">
        <v>1375</v>
      </c>
      <c r="I88" s="123" t="s">
        <v>740</v>
      </c>
      <c r="J88" s="197" t="s">
        <v>1383</v>
      </c>
      <c r="K88" s="197"/>
      <c r="L88" s="197"/>
      <c r="M88" s="198"/>
      <c r="N88" s="198"/>
      <c r="O88" s="198"/>
      <c r="P88" s="197"/>
      <c r="Q88" s="106" t="b">
        <f t="shared" si="4"/>
        <v>1</v>
      </c>
      <c r="R88" s="199">
        <f t="shared" si="3"/>
        <v>1</v>
      </c>
    </row>
    <row r="89" spans="1:18" x14ac:dyDescent="0.3">
      <c r="A89" s="124">
        <v>3</v>
      </c>
      <c r="B89" s="36" t="s">
        <v>107</v>
      </c>
      <c r="C89" s="8">
        <v>13</v>
      </c>
      <c r="D89" s="125" t="s">
        <v>96</v>
      </c>
      <c r="E89" s="11" t="s">
        <v>330</v>
      </c>
      <c r="F89" s="126" t="s">
        <v>52</v>
      </c>
      <c r="G89" s="122"/>
      <c r="H89" s="122" t="s">
        <v>343</v>
      </c>
      <c r="I89" s="123" t="s">
        <v>342</v>
      </c>
      <c r="J89" s="197"/>
      <c r="K89" s="197"/>
      <c r="L89" s="197"/>
      <c r="M89" s="198"/>
      <c r="N89" s="198"/>
      <c r="O89" s="198"/>
      <c r="P89" s="197"/>
      <c r="Q89" s="106" t="b">
        <f t="shared" si="4"/>
        <v>0</v>
      </c>
      <c r="R89" s="199">
        <f t="shared" si="3"/>
        <v>0</v>
      </c>
    </row>
    <row r="90" spans="1:18" x14ac:dyDescent="0.3">
      <c r="A90" s="124">
        <v>3</v>
      </c>
      <c r="B90" s="36" t="s">
        <v>107</v>
      </c>
      <c r="C90" s="8">
        <v>14</v>
      </c>
      <c r="D90" s="125" t="s">
        <v>97</v>
      </c>
      <c r="E90" s="11" t="s">
        <v>331</v>
      </c>
      <c r="F90" s="126" t="s">
        <v>52</v>
      </c>
      <c r="G90" s="122"/>
      <c r="H90" s="122" t="s">
        <v>343</v>
      </c>
      <c r="I90" s="123" t="s">
        <v>342</v>
      </c>
      <c r="J90" s="197"/>
      <c r="K90" s="197"/>
      <c r="L90" s="197"/>
      <c r="M90" s="198"/>
      <c r="N90" s="198"/>
      <c r="O90" s="198"/>
      <c r="P90" s="197"/>
      <c r="Q90" s="106" t="b">
        <f t="shared" si="4"/>
        <v>0</v>
      </c>
      <c r="R90" s="199">
        <f t="shared" si="3"/>
        <v>0</v>
      </c>
    </row>
    <row r="91" spans="1:18" x14ac:dyDescent="0.3">
      <c r="A91" s="124">
        <v>3</v>
      </c>
      <c r="B91" s="36" t="s">
        <v>107</v>
      </c>
      <c r="C91" s="8">
        <v>15</v>
      </c>
      <c r="D91" s="17" t="s">
        <v>43</v>
      </c>
      <c r="E91" s="38" t="s">
        <v>332</v>
      </c>
      <c r="F91" s="126" t="s">
        <v>52</v>
      </c>
      <c r="G91" s="122"/>
      <c r="H91" s="122" t="s">
        <v>346</v>
      </c>
      <c r="I91" s="123" t="s">
        <v>326</v>
      </c>
      <c r="J91" s="197" t="s">
        <v>1383</v>
      </c>
      <c r="K91" s="197"/>
      <c r="L91" s="197"/>
      <c r="M91" s="198"/>
      <c r="N91" s="198"/>
      <c r="O91" s="198"/>
      <c r="P91" s="197"/>
      <c r="Q91" s="106" t="b">
        <f t="shared" si="4"/>
        <v>1</v>
      </c>
      <c r="R91" s="199">
        <f t="shared" si="3"/>
        <v>1</v>
      </c>
    </row>
    <row r="92" spans="1:18" x14ac:dyDescent="0.3">
      <c r="A92" s="124">
        <v>3</v>
      </c>
      <c r="B92" s="36" t="s">
        <v>107</v>
      </c>
      <c r="C92" s="8">
        <v>16</v>
      </c>
      <c r="D92" s="125" t="s">
        <v>98</v>
      </c>
      <c r="E92" s="11" t="s">
        <v>333</v>
      </c>
      <c r="F92" s="126" t="s">
        <v>52</v>
      </c>
      <c r="G92" s="122"/>
      <c r="H92" s="122" t="s">
        <v>318</v>
      </c>
      <c r="I92" s="123" t="s">
        <v>317</v>
      </c>
      <c r="J92" s="197" t="s">
        <v>1383</v>
      </c>
      <c r="K92" s="197"/>
      <c r="L92" s="197"/>
      <c r="M92" s="198"/>
      <c r="N92" s="198"/>
      <c r="O92" s="198"/>
      <c r="P92" s="197"/>
      <c r="Q92" s="106" t="b">
        <f t="shared" si="4"/>
        <v>1</v>
      </c>
      <c r="R92" s="199">
        <f t="shared" si="3"/>
        <v>1</v>
      </c>
    </row>
    <row r="93" spans="1:18" x14ac:dyDescent="0.3">
      <c r="A93" s="124">
        <v>3</v>
      </c>
      <c r="B93" s="36" t="s">
        <v>107</v>
      </c>
      <c r="C93" s="8">
        <v>17</v>
      </c>
      <c r="D93" s="125" t="s">
        <v>99</v>
      </c>
      <c r="E93" s="11" t="s">
        <v>334</v>
      </c>
      <c r="F93" s="126" t="s">
        <v>52</v>
      </c>
      <c r="G93" s="122"/>
      <c r="H93" s="122" t="s">
        <v>318</v>
      </c>
      <c r="I93" s="123" t="s">
        <v>317</v>
      </c>
      <c r="J93" s="197"/>
      <c r="K93" s="197"/>
      <c r="L93" s="197"/>
      <c r="M93" s="198"/>
      <c r="N93" s="198"/>
      <c r="O93" s="198"/>
      <c r="P93" s="197"/>
      <c r="Q93" s="106" t="b">
        <f t="shared" si="4"/>
        <v>0</v>
      </c>
      <c r="R93" s="199">
        <f t="shared" si="3"/>
        <v>0</v>
      </c>
    </row>
    <row r="94" spans="1:18" x14ac:dyDescent="0.3">
      <c r="A94" s="124">
        <v>3</v>
      </c>
      <c r="B94" s="36" t="s">
        <v>107</v>
      </c>
      <c r="C94" s="8">
        <v>18</v>
      </c>
      <c r="D94" s="125" t="s">
        <v>100</v>
      </c>
      <c r="E94" s="11" t="s">
        <v>335</v>
      </c>
      <c r="F94" s="126" t="s">
        <v>52</v>
      </c>
      <c r="G94" s="122"/>
      <c r="H94" s="122" t="s">
        <v>346</v>
      </c>
      <c r="I94" s="123" t="s">
        <v>326</v>
      </c>
      <c r="J94" s="197" t="s">
        <v>1383</v>
      </c>
      <c r="K94" s="197"/>
      <c r="L94" s="197"/>
      <c r="M94" s="198"/>
      <c r="N94" s="198"/>
      <c r="O94" s="198"/>
      <c r="P94" s="197"/>
      <c r="Q94" s="106" t="b">
        <f t="shared" si="4"/>
        <v>1</v>
      </c>
      <c r="R94" s="199">
        <f t="shared" si="3"/>
        <v>1</v>
      </c>
    </row>
    <row r="95" spans="1:18" x14ac:dyDescent="0.3">
      <c r="A95" s="124">
        <v>3</v>
      </c>
      <c r="B95" s="36" t="s">
        <v>107</v>
      </c>
      <c r="C95" s="8">
        <v>19</v>
      </c>
      <c r="D95" s="125" t="s">
        <v>101</v>
      </c>
      <c r="E95" s="11" t="s">
        <v>336</v>
      </c>
      <c r="F95" s="126" t="s">
        <v>52</v>
      </c>
      <c r="G95" s="122"/>
      <c r="H95" s="122" t="s">
        <v>318</v>
      </c>
      <c r="I95" s="123" t="s">
        <v>317</v>
      </c>
      <c r="J95" s="197"/>
      <c r="K95" s="197"/>
      <c r="L95" s="197"/>
      <c r="M95" s="198"/>
      <c r="N95" s="198"/>
      <c r="O95" s="198"/>
      <c r="P95" s="197"/>
      <c r="Q95" s="106" t="b">
        <f t="shared" si="4"/>
        <v>0</v>
      </c>
      <c r="R95" s="199">
        <f t="shared" si="3"/>
        <v>0</v>
      </c>
    </row>
    <row r="96" spans="1:18" x14ac:dyDescent="0.3">
      <c r="A96" s="124">
        <v>3</v>
      </c>
      <c r="B96" s="36" t="s">
        <v>107</v>
      </c>
      <c r="C96" s="8">
        <v>20</v>
      </c>
      <c r="D96" s="125" t="s">
        <v>102</v>
      </c>
      <c r="E96" s="11" t="s">
        <v>337</v>
      </c>
      <c r="F96" s="126" t="s">
        <v>52</v>
      </c>
      <c r="G96" s="122"/>
      <c r="H96" s="122" t="s">
        <v>343</v>
      </c>
      <c r="I96" s="123" t="s">
        <v>342</v>
      </c>
      <c r="J96" s="197" t="s">
        <v>1383</v>
      </c>
      <c r="K96" s="198" t="s">
        <v>1383</v>
      </c>
      <c r="L96" s="197"/>
      <c r="M96" s="198"/>
      <c r="N96" s="198"/>
      <c r="O96" s="198"/>
      <c r="P96" s="197"/>
      <c r="Q96" s="106" t="b">
        <f t="shared" si="4"/>
        <v>1</v>
      </c>
      <c r="R96" s="199">
        <f t="shared" si="3"/>
        <v>2</v>
      </c>
    </row>
    <row r="97" spans="1:18" x14ac:dyDescent="0.3">
      <c r="A97" s="124">
        <v>3</v>
      </c>
      <c r="B97" s="36" t="s">
        <v>107</v>
      </c>
      <c r="C97" s="8">
        <v>21</v>
      </c>
      <c r="D97" s="125" t="s">
        <v>103</v>
      </c>
      <c r="E97" s="11" t="s">
        <v>338</v>
      </c>
      <c r="F97" s="126" t="s">
        <v>52</v>
      </c>
      <c r="G97" s="122"/>
      <c r="H97" s="122" t="s">
        <v>348</v>
      </c>
      <c r="I97" s="123" t="s">
        <v>347</v>
      </c>
      <c r="J97" s="197" t="s">
        <v>1383</v>
      </c>
      <c r="K97" s="197"/>
      <c r="L97" s="197"/>
      <c r="M97" s="198"/>
      <c r="N97" s="198"/>
      <c r="O97" s="198"/>
      <c r="P97" s="197"/>
      <c r="Q97" s="106" t="b">
        <f t="shared" si="4"/>
        <v>1</v>
      </c>
      <c r="R97" s="199">
        <f t="shared" si="3"/>
        <v>1</v>
      </c>
    </row>
    <row r="98" spans="1:18" x14ac:dyDescent="0.3">
      <c r="A98" s="124">
        <v>3</v>
      </c>
      <c r="B98" s="36" t="s">
        <v>107</v>
      </c>
      <c r="C98" s="8">
        <v>22</v>
      </c>
      <c r="D98" s="125" t="s">
        <v>104</v>
      </c>
      <c r="E98" s="11" t="s">
        <v>339</v>
      </c>
      <c r="F98" s="126" t="s">
        <v>52</v>
      </c>
      <c r="G98" s="122"/>
      <c r="H98" s="122" t="s">
        <v>318</v>
      </c>
      <c r="I98" s="123" t="s">
        <v>317</v>
      </c>
      <c r="J98" s="197"/>
      <c r="K98" s="197"/>
      <c r="L98" s="197"/>
      <c r="M98" s="198"/>
      <c r="N98" s="198"/>
      <c r="O98" s="198"/>
      <c r="P98" s="197"/>
      <c r="Q98" s="106" t="b">
        <f t="shared" si="4"/>
        <v>0</v>
      </c>
      <c r="R98" s="199">
        <f t="shared" si="3"/>
        <v>0</v>
      </c>
    </row>
    <row r="99" spans="1:18" x14ac:dyDescent="0.3">
      <c r="A99" s="124">
        <v>3</v>
      </c>
      <c r="B99" s="36" t="s">
        <v>107</v>
      </c>
      <c r="C99" s="8">
        <v>23</v>
      </c>
      <c r="D99" s="125" t="s">
        <v>105</v>
      </c>
      <c r="E99" s="11" t="s">
        <v>340</v>
      </c>
      <c r="F99" s="126" t="s">
        <v>52</v>
      </c>
      <c r="G99" s="122"/>
      <c r="H99" s="122" t="s">
        <v>318</v>
      </c>
      <c r="I99" s="123" t="s">
        <v>317</v>
      </c>
      <c r="J99" s="197"/>
      <c r="K99" s="197"/>
      <c r="L99" s="197"/>
      <c r="M99" s="198"/>
      <c r="N99" s="198"/>
      <c r="O99" s="198"/>
      <c r="P99" s="197"/>
      <c r="Q99" s="106" t="b">
        <f t="shared" si="4"/>
        <v>0</v>
      </c>
      <c r="R99" s="199">
        <f t="shared" si="3"/>
        <v>0</v>
      </c>
    </row>
    <row r="100" spans="1:18" ht="19.5" thickBot="1" x14ac:dyDescent="0.35">
      <c r="A100" s="132">
        <v>3</v>
      </c>
      <c r="B100" s="43" t="s">
        <v>107</v>
      </c>
      <c r="C100" s="20">
        <v>24</v>
      </c>
      <c r="D100" s="156" t="s">
        <v>106</v>
      </c>
      <c r="E100" s="134" t="s">
        <v>341</v>
      </c>
      <c r="F100" s="157" t="s">
        <v>52</v>
      </c>
      <c r="G100" s="158"/>
      <c r="H100" s="158" t="s">
        <v>349</v>
      </c>
      <c r="I100" s="159" t="s">
        <v>328</v>
      </c>
      <c r="J100" s="200"/>
      <c r="K100" s="200"/>
      <c r="L100" s="200"/>
      <c r="M100" s="201"/>
      <c r="N100" s="201"/>
      <c r="O100" s="201"/>
      <c r="P100" s="200"/>
      <c r="Q100" s="244" t="b">
        <f t="shared" si="4"/>
        <v>0</v>
      </c>
      <c r="R100" s="202">
        <f t="shared" si="3"/>
        <v>0</v>
      </c>
    </row>
    <row r="101" spans="1:18" ht="19.5" hidden="1" thickBot="1" x14ac:dyDescent="0.3">
      <c r="A101" s="137">
        <f>A100</f>
        <v>3</v>
      </c>
      <c r="B101" s="138" t="str">
        <f>B100</f>
        <v>DIMATALING</v>
      </c>
      <c r="C101" s="15">
        <f>COUNTA(C77:C100)</f>
        <v>24</v>
      </c>
      <c r="D101" s="139" t="s">
        <v>1</v>
      </c>
      <c r="E101" s="139" t="s">
        <v>1374</v>
      </c>
      <c r="F101" s="15">
        <f>COUNTA(F77:F100)</f>
        <v>23</v>
      </c>
      <c r="G101" s="15">
        <f>COUNTA(G77:G100)</f>
        <v>1</v>
      </c>
      <c r="H101" s="291" t="s">
        <v>3</v>
      </c>
      <c r="I101" s="292"/>
      <c r="J101" s="15">
        <f t="shared" ref="J101:P101" si="6">COUNTA(J77:J100)</f>
        <v>12</v>
      </c>
      <c r="K101" s="15">
        <f t="shared" si="6"/>
        <v>1</v>
      </c>
      <c r="L101" s="15">
        <f t="shared" si="6"/>
        <v>1</v>
      </c>
      <c r="M101" s="15">
        <f t="shared" si="6"/>
        <v>0</v>
      </c>
      <c r="N101" s="15">
        <f t="shared" si="6"/>
        <v>3</v>
      </c>
      <c r="O101" s="15">
        <f t="shared" si="6"/>
        <v>0</v>
      </c>
      <c r="P101" s="15">
        <f t="shared" si="6"/>
        <v>0</v>
      </c>
      <c r="Q101" s="77">
        <f>COUNTIF(Q77:Q100,TRUE)</f>
        <v>12</v>
      </c>
      <c r="R101" s="249">
        <f>SUM(J101:P101)</f>
        <v>17</v>
      </c>
    </row>
    <row r="102" spans="1:18" x14ac:dyDescent="0.3">
      <c r="A102" s="140">
        <v>4</v>
      </c>
      <c r="B102" s="160" t="s">
        <v>136</v>
      </c>
      <c r="C102" s="7">
        <v>1</v>
      </c>
      <c r="D102" s="120" t="s">
        <v>109</v>
      </c>
      <c r="E102" s="10" t="s">
        <v>351</v>
      </c>
      <c r="F102" s="121" t="s">
        <v>52</v>
      </c>
      <c r="G102" s="142"/>
      <c r="H102" s="142" t="s">
        <v>344</v>
      </c>
      <c r="I102" s="144" t="s">
        <v>345</v>
      </c>
      <c r="J102" s="194"/>
      <c r="K102" s="194"/>
      <c r="L102" s="194"/>
      <c r="M102" s="195"/>
      <c r="N102" s="195"/>
      <c r="O102" s="195"/>
      <c r="P102" s="194"/>
      <c r="Q102" s="106" t="b">
        <f t="shared" si="4"/>
        <v>0</v>
      </c>
      <c r="R102" s="196">
        <f t="shared" si="3"/>
        <v>0</v>
      </c>
    </row>
    <row r="103" spans="1:18" x14ac:dyDescent="0.3">
      <c r="A103" s="124">
        <v>4</v>
      </c>
      <c r="B103" s="36" t="s">
        <v>136</v>
      </c>
      <c r="C103" s="4">
        <v>2</v>
      </c>
      <c r="D103" s="125" t="s">
        <v>110</v>
      </c>
      <c r="E103" s="11" t="s">
        <v>352</v>
      </c>
      <c r="F103" s="126" t="s">
        <v>52</v>
      </c>
      <c r="G103" s="122"/>
      <c r="H103" s="122" t="s">
        <v>344</v>
      </c>
      <c r="I103" s="123" t="s">
        <v>345</v>
      </c>
      <c r="J103" s="197" t="s">
        <v>1383</v>
      </c>
      <c r="K103" s="197" t="s">
        <v>1383</v>
      </c>
      <c r="L103" s="197"/>
      <c r="M103" s="198"/>
      <c r="N103" s="198"/>
      <c r="O103" s="198"/>
      <c r="P103" s="197"/>
      <c r="Q103" s="106" t="b">
        <f t="shared" si="4"/>
        <v>1</v>
      </c>
      <c r="R103" s="199">
        <f t="shared" si="3"/>
        <v>2</v>
      </c>
    </row>
    <row r="104" spans="1:18" x14ac:dyDescent="0.3">
      <c r="A104" s="124">
        <v>4</v>
      </c>
      <c r="B104" s="36" t="s">
        <v>136</v>
      </c>
      <c r="C104" s="4">
        <v>3</v>
      </c>
      <c r="D104" s="125" t="s">
        <v>111</v>
      </c>
      <c r="E104" s="11" t="s">
        <v>353</v>
      </c>
      <c r="F104" s="126" t="s">
        <v>52</v>
      </c>
      <c r="G104" s="122"/>
      <c r="H104" s="122" t="s">
        <v>343</v>
      </c>
      <c r="I104" s="123" t="s">
        <v>342</v>
      </c>
      <c r="J104" s="197" t="s">
        <v>1383</v>
      </c>
      <c r="K104" s="197"/>
      <c r="L104" s="197"/>
      <c r="M104" s="198"/>
      <c r="N104" s="198"/>
      <c r="O104" s="198"/>
      <c r="P104" s="197"/>
      <c r="Q104" s="106" t="b">
        <f t="shared" si="4"/>
        <v>1</v>
      </c>
      <c r="R104" s="199">
        <f t="shared" si="3"/>
        <v>1</v>
      </c>
    </row>
    <row r="105" spans="1:18" x14ac:dyDescent="0.3">
      <c r="A105" s="124">
        <v>4</v>
      </c>
      <c r="B105" s="36" t="s">
        <v>136</v>
      </c>
      <c r="C105" s="4">
        <v>4</v>
      </c>
      <c r="D105" s="125" t="s">
        <v>112</v>
      </c>
      <c r="E105" s="11" t="s">
        <v>368</v>
      </c>
      <c r="F105" s="126" t="s">
        <v>52</v>
      </c>
      <c r="G105" s="122"/>
      <c r="H105" s="122" t="s">
        <v>344</v>
      </c>
      <c r="I105" s="123" t="s">
        <v>345</v>
      </c>
      <c r="J105" s="197" t="s">
        <v>1383</v>
      </c>
      <c r="K105" s="197" t="s">
        <v>1383</v>
      </c>
      <c r="L105" s="197" t="s">
        <v>1383</v>
      </c>
      <c r="M105" s="198"/>
      <c r="N105" s="198"/>
      <c r="O105" s="198"/>
      <c r="P105" s="197"/>
      <c r="Q105" s="106" t="b">
        <f t="shared" si="4"/>
        <v>1</v>
      </c>
      <c r="R105" s="199">
        <f t="shared" si="3"/>
        <v>3</v>
      </c>
    </row>
    <row r="106" spans="1:18" x14ac:dyDescent="0.3">
      <c r="A106" s="124">
        <v>4</v>
      </c>
      <c r="B106" s="36" t="s">
        <v>136</v>
      </c>
      <c r="C106" s="4">
        <v>5</v>
      </c>
      <c r="D106" s="125" t="s">
        <v>113</v>
      </c>
      <c r="E106" s="11" t="s">
        <v>354</v>
      </c>
      <c r="F106" s="126" t="s">
        <v>52</v>
      </c>
      <c r="G106" s="122"/>
      <c r="H106" s="122" t="s">
        <v>343</v>
      </c>
      <c r="I106" s="123" t="s">
        <v>342</v>
      </c>
      <c r="J106" s="197" t="s">
        <v>1383</v>
      </c>
      <c r="K106" s="197"/>
      <c r="L106" s="197"/>
      <c r="M106" s="198"/>
      <c r="N106" s="198"/>
      <c r="O106" s="198"/>
      <c r="P106" s="197"/>
      <c r="Q106" s="106" t="b">
        <f t="shared" si="4"/>
        <v>1</v>
      </c>
      <c r="R106" s="199">
        <f t="shared" si="3"/>
        <v>1</v>
      </c>
    </row>
    <row r="107" spans="1:18" x14ac:dyDescent="0.3">
      <c r="A107" s="124">
        <v>4</v>
      </c>
      <c r="B107" s="36" t="s">
        <v>136</v>
      </c>
      <c r="C107" s="4">
        <v>6</v>
      </c>
      <c r="D107" s="125" t="s">
        <v>114</v>
      </c>
      <c r="E107" s="11" t="s">
        <v>355</v>
      </c>
      <c r="F107" s="126" t="s">
        <v>52</v>
      </c>
      <c r="G107" s="122"/>
      <c r="H107" s="122" t="s">
        <v>343</v>
      </c>
      <c r="I107" s="123" t="s">
        <v>342</v>
      </c>
      <c r="J107" s="197" t="s">
        <v>1383</v>
      </c>
      <c r="K107" s="197"/>
      <c r="L107" s="197"/>
      <c r="M107" s="198"/>
      <c r="N107" s="198"/>
      <c r="O107" s="198"/>
      <c r="P107" s="197"/>
      <c r="Q107" s="106" t="b">
        <f t="shared" si="4"/>
        <v>1</v>
      </c>
      <c r="R107" s="199">
        <f t="shared" si="3"/>
        <v>1</v>
      </c>
    </row>
    <row r="108" spans="1:18" x14ac:dyDescent="0.3">
      <c r="A108" s="124">
        <v>4</v>
      </c>
      <c r="B108" s="36" t="s">
        <v>136</v>
      </c>
      <c r="C108" s="4">
        <v>7</v>
      </c>
      <c r="D108" s="125" t="s">
        <v>115</v>
      </c>
      <c r="E108" s="11" t="s">
        <v>356</v>
      </c>
      <c r="F108" s="126" t="s">
        <v>52</v>
      </c>
      <c r="G108" s="122"/>
      <c r="H108" s="122" t="s">
        <v>343</v>
      </c>
      <c r="I108" s="123" t="s">
        <v>342</v>
      </c>
      <c r="J108" s="197"/>
      <c r="K108" s="197"/>
      <c r="L108" s="197"/>
      <c r="M108" s="198"/>
      <c r="N108" s="198"/>
      <c r="O108" s="198"/>
      <c r="P108" s="197"/>
      <c r="Q108" s="106" t="b">
        <f t="shared" si="4"/>
        <v>0</v>
      </c>
      <c r="R108" s="199">
        <f t="shared" si="3"/>
        <v>0</v>
      </c>
    </row>
    <row r="109" spans="1:18" x14ac:dyDescent="0.3">
      <c r="A109" s="124">
        <v>4</v>
      </c>
      <c r="B109" s="36" t="s">
        <v>136</v>
      </c>
      <c r="C109" s="4">
        <v>8</v>
      </c>
      <c r="D109" s="125" t="s">
        <v>135</v>
      </c>
      <c r="E109" s="11" t="s">
        <v>357</v>
      </c>
      <c r="F109" s="126" t="s">
        <v>52</v>
      </c>
      <c r="G109" s="122"/>
      <c r="H109" s="122" t="s">
        <v>343</v>
      </c>
      <c r="I109" s="123" t="s">
        <v>342</v>
      </c>
      <c r="J109" s="197" t="s">
        <v>1383</v>
      </c>
      <c r="K109" s="197" t="s">
        <v>1383</v>
      </c>
      <c r="L109" s="197" t="s">
        <v>1383</v>
      </c>
      <c r="M109" s="198" t="s">
        <v>1383</v>
      </c>
      <c r="N109" s="198"/>
      <c r="O109" s="198"/>
      <c r="P109" s="197" t="s">
        <v>1383</v>
      </c>
      <c r="Q109" s="106" t="b">
        <f t="shared" si="4"/>
        <v>1</v>
      </c>
      <c r="R109" s="199">
        <f t="shared" si="3"/>
        <v>5</v>
      </c>
    </row>
    <row r="110" spans="1:18" x14ac:dyDescent="0.3">
      <c r="A110" s="124">
        <v>4</v>
      </c>
      <c r="B110" s="36" t="s">
        <v>136</v>
      </c>
      <c r="C110" s="4">
        <v>9</v>
      </c>
      <c r="D110" s="125" t="s">
        <v>116</v>
      </c>
      <c r="E110" s="11" t="s">
        <v>358</v>
      </c>
      <c r="F110" s="126" t="s">
        <v>52</v>
      </c>
      <c r="G110" s="122"/>
      <c r="H110" s="122" t="s">
        <v>343</v>
      </c>
      <c r="I110" s="123" t="s">
        <v>342</v>
      </c>
      <c r="J110" s="197"/>
      <c r="K110" s="197"/>
      <c r="L110" s="197"/>
      <c r="M110" s="198"/>
      <c r="N110" s="198"/>
      <c r="O110" s="198"/>
      <c r="P110" s="197"/>
      <c r="Q110" s="106" t="b">
        <f t="shared" si="4"/>
        <v>0</v>
      </c>
      <c r="R110" s="199">
        <f t="shared" si="3"/>
        <v>0</v>
      </c>
    </row>
    <row r="111" spans="1:18" x14ac:dyDescent="0.3">
      <c r="A111" s="124">
        <v>4</v>
      </c>
      <c r="B111" s="36" t="s">
        <v>136</v>
      </c>
      <c r="C111" s="4">
        <v>10</v>
      </c>
      <c r="D111" s="125" t="s">
        <v>117</v>
      </c>
      <c r="E111" s="11" t="s">
        <v>359</v>
      </c>
      <c r="F111" s="126" t="s">
        <v>52</v>
      </c>
      <c r="G111" s="122"/>
      <c r="H111" s="122" t="s">
        <v>343</v>
      </c>
      <c r="I111" s="123" t="s">
        <v>342</v>
      </c>
      <c r="J111" s="197" t="s">
        <v>1383</v>
      </c>
      <c r="K111" s="197" t="s">
        <v>1383</v>
      </c>
      <c r="L111" s="197"/>
      <c r="M111" s="198"/>
      <c r="N111" s="198"/>
      <c r="O111" s="198"/>
      <c r="P111" s="197"/>
      <c r="Q111" s="106" t="b">
        <f t="shared" si="4"/>
        <v>1</v>
      </c>
      <c r="R111" s="199">
        <f t="shared" si="3"/>
        <v>2</v>
      </c>
    </row>
    <row r="112" spans="1:18" x14ac:dyDescent="0.3">
      <c r="A112" s="124">
        <v>4</v>
      </c>
      <c r="B112" s="36" t="s">
        <v>136</v>
      </c>
      <c r="C112" s="4">
        <v>11</v>
      </c>
      <c r="D112" s="125" t="s">
        <v>118</v>
      </c>
      <c r="E112" s="11" t="s">
        <v>360</v>
      </c>
      <c r="F112" s="126" t="s">
        <v>52</v>
      </c>
      <c r="G112" s="122"/>
      <c r="H112" s="122" t="s">
        <v>343</v>
      </c>
      <c r="I112" s="123" t="s">
        <v>342</v>
      </c>
      <c r="J112" s="197" t="s">
        <v>1383</v>
      </c>
      <c r="K112" s="197"/>
      <c r="L112" s="197" t="s">
        <v>1383</v>
      </c>
      <c r="M112" s="198"/>
      <c r="N112" s="198" t="s">
        <v>1383</v>
      </c>
      <c r="O112" s="198"/>
      <c r="P112" s="197"/>
      <c r="Q112" s="106" t="b">
        <f t="shared" si="4"/>
        <v>1</v>
      </c>
      <c r="R112" s="199">
        <f t="shared" si="3"/>
        <v>3</v>
      </c>
    </row>
    <row r="113" spans="1:18" x14ac:dyDescent="0.3">
      <c r="A113" s="124">
        <v>4</v>
      </c>
      <c r="B113" s="36" t="s">
        <v>136</v>
      </c>
      <c r="C113" s="4">
        <v>12</v>
      </c>
      <c r="D113" s="125" t="s">
        <v>119</v>
      </c>
      <c r="E113" s="11" t="s">
        <v>361</v>
      </c>
      <c r="F113" s="126" t="s">
        <v>52</v>
      </c>
      <c r="G113" s="122"/>
      <c r="H113" s="122" t="s">
        <v>343</v>
      </c>
      <c r="I113" s="123" t="s">
        <v>342</v>
      </c>
      <c r="J113" s="197" t="s">
        <v>1383</v>
      </c>
      <c r="K113" s="197"/>
      <c r="L113" s="197"/>
      <c r="M113" s="198"/>
      <c r="N113" s="198"/>
      <c r="O113" s="198"/>
      <c r="P113" s="197"/>
      <c r="Q113" s="106" t="b">
        <f t="shared" si="4"/>
        <v>1</v>
      </c>
      <c r="R113" s="199">
        <f t="shared" si="3"/>
        <v>1</v>
      </c>
    </row>
    <row r="114" spans="1:18" x14ac:dyDescent="0.3">
      <c r="A114" s="124">
        <v>4</v>
      </c>
      <c r="B114" s="36" t="s">
        <v>136</v>
      </c>
      <c r="C114" s="4">
        <v>13</v>
      </c>
      <c r="D114" s="125" t="s">
        <v>120</v>
      </c>
      <c r="E114" s="11" t="s">
        <v>367</v>
      </c>
      <c r="F114" s="126" t="s">
        <v>52</v>
      </c>
      <c r="G114" s="122"/>
      <c r="H114" s="122" t="s">
        <v>344</v>
      </c>
      <c r="I114" s="123" t="s">
        <v>345</v>
      </c>
      <c r="J114" s="197" t="s">
        <v>1383</v>
      </c>
      <c r="K114" s="197" t="s">
        <v>1383</v>
      </c>
      <c r="L114" s="197"/>
      <c r="M114" s="198"/>
      <c r="N114" s="198"/>
      <c r="O114" s="198"/>
      <c r="P114" s="197"/>
      <c r="Q114" s="106" t="b">
        <f t="shared" si="4"/>
        <v>1</v>
      </c>
      <c r="R114" s="199">
        <f t="shared" si="3"/>
        <v>2</v>
      </c>
    </row>
    <row r="115" spans="1:18" x14ac:dyDescent="0.3">
      <c r="A115" s="124">
        <v>4</v>
      </c>
      <c r="B115" s="36" t="s">
        <v>136</v>
      </c>
      <c r="C115" s="4">
        <v>14</v>
      </c>
      <c r="D115" s="125" t="s">
        <v>121</v>
      </c>
      <c r="E115" s="11" t="s">
        <v>362</v>
      </c>
      <c r="F115" s="126" t="s">
        <v>52</v>
      </c>
      <c r="G115" s="122"/>
      <c r="H115" s="122" t="s">
        <v>344</v>
      </c>
      <c r="I115" s="123" t="s">
        <v>345</v>
      </c>
      <c r="J115" s="197"/>
      <c r="K115" s="197"/>
      <c r="L115" s="197"/>
      <c r="M115" s="198"/>
      <c r="N115" s="198"/>
      <c r="O115" s="198"/>
      <c r="P115" s="197"/>
      <c r="Q115" s="106" t="b">
        <f t="shared" si="4"/>
        <v>0</v>
      </c>
      <c r="R115" s="199">
        <f t="shared" si="3"/>
        <v>0</v>
      </c>
    </row>
    <row r="116" spans="1:18" x14ac:dyDescent="0.3">
      <c r="A116" s="124">
        <v>4</v>
      </c>
      <c r="B116" s="36" t="s">
        <v>136</v>
      </c>
      <c r="C116" s="4">
        <v>15</v>
      </c>
      <c r="D116" s="125" t="s">
        <v>122</v>
      </c>
      <c r="E116" s="11" t="s">
        <v>363</v>
      </c>
      <c r="F116" s="126" t="s">
        <v>52</v>
      </c>
      <c r="G116" s="122"/>
      <c r="H116" s="122" t="s">
        <v>349</v>
      </c>
      <c r="I116" s="123" t="s">
        <v>328</v>
      </c>
      <c r="J116" s="197" t="s">
        <v>1383</v>
      </c>
      <c r="K116" s="197"/>
      <c r="L116" s="197"/>
      <c r="M116" s="198"/>
      <c r="N116" s="198"/>
      <c r="O116" s="198"/>
      <c r="P116" s="197"/>
      <c r="Q116" s="106" t="b">
        <f t="shared" si="4"/>
        <v>1</v>
      </c>
      <c r="R116" s="199">
        <f t="shared" si="3"/>
        <v>1</v>
      </c>
    </row>
    <row r="117" spans="1:18" x14ac:dyDescent="0.3">
      <c r="A117" s="124">
        <v>4</v>
      </c>
      <c r="B117" s="36" t="s">
        <v>136</v>
      </c>
      <c r="C117" s="4">
        <v>16</v>
      </c>
      <c r="D117" s="125" t="s">
        <v>123</v>
      </c>
      <c r="E117" s="11" t="s">
        <v>364</v>
      </c>
      <c r="F117" s="126" t="s">
        <v>52</v>
      </c>
      <c r="G117" s="122"/>
      <c r="H117" s="122" t="s">
        <v>343</v>
      </c>
      <c r="I117" s="123" t="s">
        <v>342</v>
      </c>
      <c r="J117" s="197" t="s">
        <v>1383</v>
      </c>
      <c r="K117" s="197"/>
      <c r="L117" s="197"/>
      <c r="M117" s="198"/>
      <c r="N117" s="198"/>
      <c r="O117" s="198"/>
      <c r="P117" s="197"/>
      <c r="Q117" s="106" t="b">
        <f t="shared" si="4"/>
        <v>1</v>
      </c>
      <c r="R117" s="199">
        <f t="shared" si="3"/>
        <v>1</v>
      </c>
    </row>
    <row r="118" spans="1:18" x14ac:dyDescent="0.3">
      <c r="A118" s="124">
        <v>4</v>
      </c>
      <c r="B118" s="36" t="s">
        <v>136</v>
      </c>
      <c r="C118" s="4">
        <v>17</v>
      </c>
      <c r="D118" s="125" t="s">
        <v>124</v>
      </c>
      <c r="E118" s="11" t="s">
        <v>365</v>
      </c>
      <c r="F118" s="126" t="s">
        <v>52</v>
      </c>
      <c r="G118" s="122"/>
      <c r="H118" s="122" t="s">
        <v>343</v>
      </c>
      <c r="I118" s="123" t="s">
        <v>342</v>
      </c>
      <c r="J118" s="197"/>
      <c r="K118" s="197"/>
      <c r="L118" s="197"/>
      <c r="M118" s="198"/>
      <c r="N118" s="198"/>
      <c r="O118" s="198"/>
      <c r="P118" s="197"/>
      <c r="Q118" s="106" t="b">
        <f t="shared" si="4"/>
        <v>0</v>
      </c>
      <c r="R118" s="199">
        <f t="shared" si="3"/>
        <v>0</v>
      </c>
    </row>
    <row r="119" spans="1:18" x14ac:dyDescent="0.3">
      <c r="A119" s="124">
        <v>4</v>
      </c>
      <c r="B119" s="36" t="s">
        <v>136</v>
      </c>
      <c r="C119" s="4">
        <v>18</v>
      </c>
      <c r="D119" s="125" t="s">
        <v>125</v>
      </c>
      <c r="E119" s="11" t="s">
        <v>366</v>
      </c>
      <c r="F119" s="126" t="s">
        <v>52</v>
      </c>
      <c r="G119" s="122"/>
      <c r="H119" s="122" t="s">
        <v>343</v>
      </c>
      <c r="I119" s="123" t="s">
        <v>342</v>
      </c>
      <c r="J119" s="197" t="s">
        <v>1383</v>
      </c>
      <c r="K119" s="197"/>
      <c r="L119" s="197" t="s">
        <v>1383</v>
      </c>
      <c r="M119" s="198"/>
      <c r="N119" s="198"/>
      <c r="O119" s="198"/>
      <c r="P119" s="197"/>
      <c r="Q119" s="106" t="b">
        <f t="shared" si="4"/>
        <v>1</v>
      </c>
      <c r="R119" s="199">
        <f t="shared" si="3"/>
        <v>2</v>
      </c>
    </row>
    <row r="120" spans="1:18" x14ac:dyDescent="0.3">
      <c r="A120" s="124">
        <v>4</v>
      </c>
      <c r="B120" s="36" t="s">
        <v>136</v>
      </c>
      <c r="C120" s="4">
        <v>19</v>
      </c>
      <c r="D120" s="125" t="s">
        <v>126</v>
      </c>
      <c r="E120" s="11" t="s">
        <v>369</v>
      </c>
      <c r="F120" s="126" t="s">
        <v>52</v>
      </c>
      <c r="G120" s="122"/>
      <c r="H120" s="122" t="s">
        <v>343</v>
      </c>
      <c r="I120" s="123" t="s">
        <v>342</v>
      </c>
      <c r="J120" s="197"/>
      <c r="K120" s="197"/>
      <c r="L120" s="197"/>
      <c r="M120" s="198"/>
      <c r="N120" s="198"/>
      <c r="O120" s="198"/>
      <c r="P120" s="197"/>
      <c r="Q120" s="106" t="b">
        <f t="shared" si="4"/>
        <v>0</v>
      </c>
      <c r="R120" s="199">
        <f t="shared" si="3"/>
        <v>0</v>
      </c>
    </row>
    <row r="121" spans="1:18" x14ac:dyDescent="0.3">
      <c r="A121" s="124">
        <v>4</v>
      </c>
      <c r="B121" s="36" t="s">
        <v>136</v>
      </c>
      <c r="C121" s="4">
        <v>20</v>
      </c>
      <c r="D121" s="17" t="s">
        <v>43</v>
      </c>
      <c r="E121" s="38" t="s">
        <v>370</v>
      </c>
      <c r="F121" s="126" t="s">
        <v>52</v>
      </c>
      <c r="G121" s="122"/>
      <c r="H121" s="122" t="s">
        <v>343</v>
      </c>
      <c r="I121" s="123" t="s">
        <v>342</v>
      </c>
      <c r="J121" s="197" t="s">
        <v>1383</v>
      </c>
      <c r="K121" s="197"/>
      <c r="L121" s="197" t="s">
        <v>1383</v>
      </c>
      <c r="M121" s="198"/>
      <c r="N121" s="198"/>
      <c r="O121" s="198"/>
      <c r="P121" s="197" t="s">
        <v>1383</v>
      </c>
      <c r="Q121" s="106" t="b">
        <f t="shared" si="4"/>
        <v>1</v>
      </c>
      <c r="R121" s="199">
        <f t="shared" si="3"/>
        <v>3</v>
      </c>
    </row>
    <row r="122" spans="1:18" x14ac:dyDescent="0.3">
      <c r="A122" s="124">
        <v>4</v>
      </c>
      <c r="B122" s="36" t="s">
        <v>136</v>
      </c>
      <c r="C122" s="4">
        <v>21</v>
      </c>
      <c r="D122" s="125" t="s">
        <v>127</v>
      </c>
      <c r="E122" s="11" t="s">
        <v>371</v>
      </c>
      <c r="F122" s="126" t="s">
        <v>52</v>
      </c>
      <c r="G122" s="122"/>
      <c r="H122" s="122" t="s">
        <v>343</v>
      </c>
      <c r="I122" s="123" t="s">
        <v>342</v>
      </c>
      <c r="J122" s="197" t="s">
        <v>1383</v>
      </c>
      <c r="K122" s="197"/>
      <c r="L122" s="197" t="s">
        <v>1383</v>
      </c>
      <c r="M122" s="198"/>
      <c r="N122" s="198"/>
      <c r="O122" s="198"/>
      <c r="P122" s="197"/>
      <c r="Q122" s="106" t="b">
        <f t="shared" si="4"/>
        <v>1</v>
      </c>
      <c r="R122" s="199">
        <f t="shared" si="3"/>
        <v>2</v>
      </c>
    </row>
    <row r="123" spans="1:18" x14ac:dyDescent="0.3">
      <c r="A123" s="124">
        <v>4</v>
      </c>
      <c r="B123" s="36" t="s">
        <v>136</v>
      </c>
      <c r="C123" s="4">
        <v>22</v>
      </c>
      <c r="D123" s="125" t="s">
        <v>128</v>
      </c>
      <c r="E123" s="11" t="s">
        <v>372</v>
      </c>
      <c r="F123" s="126" t="s">
        <v>52</v>
      </c>
      <c r="G123" s="122"/>
      <c r="H123" s="122" t="s">
        <v>344</v>
      </c>
      <c r="I123" s="123" t="s">
        <v>345</v>
      </c>
      <c r="J123" s="197" t="s">
        <v>1383</v>
      </c>
      <c r="K123" s="197"/>
      <c r="L123" s="197"/>
      <c r="M123" s="198"/>
      <c r="N123" s="198"/>
      <c r="O123" s="198"/>
      <c r="P123" s="197"/>
      <c r="Q123" s="106" t="b">
        <f t="shared" si="4"/>
        <v>1</v>
      </c>
      <c r="R123" s="199">
        <f t="shared" si="3"/>
        <v>1</v>
      </c>
    </row>
    <row r="124" spans="1:18" x14ac:dyDescent="0.3">
      <c r="A124" s="124">
        <v>4</v>
      </c>
      <c r="B124" s="36" t="s">
        <v>136</v>
      </c>
      <c r="C124" s="4">
        <v>23</v>
      </c>
      <c r="D124" s="125" t="s">
        <v>129</v>
      </c>
      <c r="E124" s="11" t="s">
        <v>373</v>
      </c>
      <c r="F124" s="122"/>
      <c r="G124" s="128" t="s">
        <v>53</v>
      </c>
      <c r="H124" s="154" t="s">
        <v>343</v>
      </c>
      <c r="I124" s="155" t="s">
        <v>342</v>
      </c>
      <c r="J124" s="197"/>
      <c r="K124" s="197"/>
      <c r="L124" s="197"/>
      <c r="M124" s="198"/>
      <c r="N124" s="198"/>
      <c r="O124" s="198"/>
      <c r="P124" s="197"/>
      <c r="Q124" s="106" t="b">
        <f t="shared" si="4"/>
        <v>0</v>
      </c>
      <c r="R124" s="199">
        <f t="shared" si="3"/>
        <v>0</v>
      </c>
    </row>
    <row r="125" spans="1:18" x14ac:dyDescent="0.3">
      <c r="A125" s="124">
        <v>4</v>
      </c>
      <c r="B125" s="36" t="s">
        <v>136</v>
      </c>
      <c r="C125" s="4">
        <v>24</v>
      </c>
      <c r="D125" s="125" t="s">
        <v>84</v>
      </c>
      <c r="E125" s="11" t="s">
        <v>374</v>
      </c>
      <c r="F125" s="126" t="s">
        <v>52</v>
      </c>
      <c r="G125" s="122"/>
      <c r="H125" s="122" t="s">
        <v>344</v>
      </c>
      <c r="I125" s="123" t="s">
        <v>345</v>
      </c>
      <c r="J125" s="197"/>
      <c r="K125" s="197"/>
      <c r="L125" s="197"/>
      <c r="M125" s="198"/>
      <c r="N125" s="198"/>
      <c r="O125" s="198"/>
      <c r="P125" s="197"/>
      <c r="Q125" s="106" t="b">
        <f t="shared" si="4"/>
        <v>0</v>
      </c>
      <c r="R125" s="199">
        <f t="shared" si="3"/>
        <v>0</v>
      </c>
    </row>
    <row r="126" spans="1:18" x14ac:dyDescent="0.3">
      <c r="A126" s="124">
        <v>4</v>
      </c>
      <c r="B126" s="36" t="s">
        <v>136</v>
      </c>
      <c r="C126" s="4">
        <v>25</v>
      </c>
      <c r="D126" s="125" t="s">
        <v>376</v>
      </c>
      <c r="E126" s="11" t="s">
        <v>375</v>
      </c>
      <c r="F126" s="126" t="s">
        <v>52</v>
      </c>
      <c r="G126" s="122"/>
      <c r="H126" s="122" t="s">
        <v>343</v>
      </c>
      <c r="I126" s="123" t="s">
        <v>342</v>
      </c>
      <c r="J126" s="197"/>
      <c r="K126" s="197"/>
      <c r="L126" s="197"/>
      <c r="M126" s="198"/>
      <c r="N126" s="198"/>
      <c r="O126" s="198"/>
      <c r="P126" s="197"/>
      <c r="Q126" s="106" t="b">
        <f t="shared" si="4"/>
        <v>0</v>
      </c>
      <c r="R126" s="199">
        <f t="shared" si="3"/>
        <v>0</v>
      </c>
    </row>
    <row r="127" spans="1:18" x14ac:dyDescent="0.3">
      <c r="A127" s="124">
        <v>4</v>
      </c>
      <c r="B127" s="36" t="s">
        <v>136</v>
      </c>
      <c r="C127" s="4">
        <v>26</v>
      </c>
      <c r="D127" s="125" t="s">
        <v>130</v>
      </c>
      <c r="E127" s="11" t="s">
        <v>377</v>
      </c>
      <c r="F127" s="126" t="s">
        <v>52</v>
      </c>
      <c r="G127" s="122"/>
      <c r="H127" s="122" t="s">
        <v>344</v>
      </c>
      <c r="I127" s="123" t="s">
        <v>345</v>
      </c>
      <c r="J127" s="197"/>
      <c r="K127" s="197"/>
      <c r="L127" s="197"/>
      <c r="M127" s="198"/>
      <c r="N127" s="198"/>
      <c r="O127" s="198"/>
      <c r="P127" s="197"/>
      <c r="Q127" s="106" t="b">
        <f t="shared" si="4"/>
        <v>0</v>
      </c>
      <c r="R127" s="199">
        <f t="shared" si="3"/>
        <v>0</v>
      </c>
    </row>
    <row r="128" spans="1:18" x14ac:dyDescent="0.3">
      <c r="A128" s="124">
        <v>4</v>
      </c>
      <c r="B128" s="36" t="s">
        <v>136</v>
      </c>
      <c r="C128" s="4">
        <v>27</v>
      </c>
      <c r="D128" s="125" t="s">
        <v>131</v>
      </c>
      <c r="E128" s="11" t="s">
        <v>378</v>
      </c>
      <c r="F128" s="126" t="s">
        <v>52</v>
      </c>
      <c r="G128" s="122"/>
      <c r="H128" s="122" t="s">
        <v>343</v>
      </c>
      <c r="I128" s="123" t="s">
        <v>342</v>
      </c>
      <c r="J128" s="197" t="s">
        <v>1383</v>
      </c>
      <c r="K128" s="197" t="s">
        <v>1383</v>
      </c>
      <c r="L128" s="197" t="s">
        <v>1383</v>
      </c>
      <c r="M128" s="198"/>
      <c r="N128" s="198"/>
      <c r="O128" s="198"/>
      <c r="P128" s="197"/>
      <c r="Q128" s="106" t="b">
        <f t="shared" si="4"/>
        <v>1</v>
      </c>
      <c r="R128" s="199">
        <f t="shared" si="3"/>
        <v>3</v>
      </c>
    </row>
    <row r="129" spans="1:18" x14ac:dyDescent="0.3">
      <c r="A129" s="124">
        <v>4</v>
      </c>
      <c r="B129" s="36" t="s">
        <v>136</v>
      </c>
      <c r="C129" s="4">
        <v>28</v>
      </c>
      <c r="D129" s="125" t="s">
        <v>132</v>
      </c>
      <c r="E129" s="11" t="s">
        <v>379</v>
      </c>
      <c r="F129" s="126" t="s">
        <v>52</v>
      </c>
      <c r="G129" s="122"/>
      <c r="H129" s="122" t="s">
        <v>344</v>
      </c>
      <c r="I129" s="123" t="s">
        <v>345</v>
      </c>
      <c r="J129" s="197" t="s">
        <v>1383</v>
      </c>
      <c r="K129" s="197"/>
      <c r="L129" s="197"/>
      <c r="M129" s="198"/>
      <c r="N129" s="198"/>
      <c r="O129" s="198"/>
      <c r="P129" s="197"/>
      <c r="Q129" s="106" t="b">
        <f t="shared" si="4"/>
        <v>1</v>
      </c>
      <c r="R129" s="199">
        <f t="shared" si="3"/>
        <v>1</v>
      </c>
    </row>
    <row r="130" spans="1:18" x14ac:dyDescent="0.3">
      <c r="A130" s="124">
        <v>4</v>
      </c>
      <c r="B130" s="36" t="s">
        <v>136</v>
      </c>
      <c r="C130" s="4">
        <v>29</v>
      </c>
      <c r="D130" s="125" t="s">
        <v>133</v>
      </c>
      <c r="E130" s="11" t="s">
        <v>380</v>
      </c>
      <c r="F130" s="122"/>
      <c r="G130" s="128" t="s">
        <v>53</v>
      </c>
      <c r="H130" s="154" t="s">
        <v>343</v>
      </c>
      <c r="I130" s="155" t="s">
        <v>342</v>
      </c>
      <c r="J130" s="197"/>
      <c r="K130" s="197"/>
      <c r="L130" s="197"/>
      <c r="M130" s="198"/>
      <c r="N130" s="198"/>
      <c r="O130" s="198"/>
      <c r="P130" s="197"/>
      <c r="Q130" s="106" t="b">
        <f t="shared" si="4"/>
        <v>0</v>
      </c>
      <c r="R130" s="199">
        <f t="shared" si="3"/>
        <v>0</v>
      </c>
    </row>
    <row r="131" spans="1:18" ht="19.5" thickBot="1" x14ac:dyDescent="0.35">
      <c r="A131" s="161">
        <v>4</v>
      </c>
      <c r="B131" s="40" t="s">
        <v>136</v>
      </c>
      <c r="C131" s="8">
        <v>30</v>
      </c>
      <c r="D131" s="146" t="s">
        <v>134</v>
      </c>
      <c r="E131" s="12" t="s">
        <v>381</v>
      </c>
      <c r="F131" s="162" t="s">
        <v>52</v>
      </c>
      <c r="G131" s="147"/>
      <c r="H131" s="147" t="s">
        <v>343</v>
      </c>
      <c r="I131" s="148" t="s">
        <v>342</v>
      </c>
      <c r="J131" s="203" t="s">
        <v>1383</v>
      </c>
      <c r="K131" s="203"/>
      <c r="L131" s="203"/>
      <c r="M131" s="204"/>
      <c r="N131" s="204"/>
      <c r="O131" s="204"/>
      <c r="P131" s="203"/>
      <c r="Q131" s="106" t="b">
        <f t="shared" si="4"/>
        <v>1</v>
      </c>
      <c r="R131" s="205">
        <f t="shared" si="3"/>
        <v>1</v>
      </c>
    </row>
    <row r="132" spans="1:18" ht="19.5" hidden="1" thickBot="1" x14ac:dyDescent="0.3">
      <c r="A132" s="137">
        <f>A131</f>
        <v>4</v>
      </c>
      <c r="B132" s="138" t="str">
        <f>B131</f>
        <v>DINAS</v>
      </c>
      <c r="C132" s="15">
        <f>COUNTA(C102:C131)</f>
        <v>30</v>
      </c>
      <c r="D132" s="139" t="s">
        <v>1</v>
      </c>
      <c r="E132" s="139" t="s">
        <v>1374</v>
      </c>
      <c r="F132" s="15">
        <f>COUNTA(F102:F131)</f>
        <v>28</v>
      </c>
      <c r="G132" s="15">
        <f>COUNTA(G102:G131)</f>
        <v>2</v>
      </c>
      <c r="H132" s="291" t="s">
        <v>3</v>
      </c>
      <c r="I132" s="292"/>
      <c r="J132" s="15">
        <f t="shared" ref="J132:P132" si="7">COUNTA(J102:J131)</f>
        <v>19</v>
      </c>
      <c r="K132" s="15">
        <f t="shared" si="7"/>
        <v>6</v>
      </c>
      <c r="L132" s="15">
        <f t="shared" si="7"/>
        <v>7</v>
      </c>
      <c r="M132" s="15">
        <f t="shared" si="7"/>
        <v>1</v>
      </c>
      <c r="N132" s="15">
        <f t="shared" si="7"/>
        <v>1</v>
      </c>
      <c r="O132" s="15">
        <f t="shared" si="7"/>
        <v>0</v>
      </c>
      <c r="P132" s="15">
        <f t="shared" si="7"/>
        <v>2</v>
      </c>
      <c r="Q132" s="22">
        <f>COUNTIF(Q102:Q131,TRUE)</f>
        <v>19</v>
      </c>
      <c r="R132" s="249">
        <f>SUM(J132:P132)</f>
        <v>36</v>
      </c>
    </row>
    <row r="133" spans="1:18" x14ac:dyDescent="0.3">
      <c r="A133" s="119">
        <v>5</v>
      </c>
      <c r="B133" s="41" t="s">
        <v>168</v>
      </c>
      <c r="C133" s="44">
        <v>1</v>
      </c>
      <c r="D133" s="150" t="s">
        <v>12</v>
      </c>
      <c r="E133" s="153" t="s">
        <v>382</v>
      </c>
      <c r="F133" s="151" t="s">
        <v>52</v>
      </c>
      <c r="G133" s="152"/>
      <c r="H133" s="152" t="s">
        <v>413</v>
      </c>
      <c r="I133" s="153" t="s">
        <v>412</v>
      </c>
      <c r="J133" s="206" t="s">
        <v>1383</v>
      </c>
      <c r="K133" s="206"/>
      <c r="L133" s="206"/>
      <c r="M133" s="207"/>
      <c r="N133" s="207"/>
      <c r="O133" s="207"/>
      <c r="P133" s="206" t="s">
        <v>1383</v>
      </c>
      <c r="Q133" s="243" t="b">
        <f t="shared" si="4"/>
        <v>1</v>
      </c>
      <c r="R133" s="208">
        <f t="shared" ref="R133:R195" si="8">COUNTA(J133:P133)</f>
        <v>2</v>
      </c>
    </row>
    <row r="134" spans="1:18" x14ac:dyDescent="0.3">
      <c r="A134" s="124">
        <v>5</v>
      </c>
      <c r="B134" s="37" t="s">
        <v>168</v>
      </c>
      <c r="C134" s="38">
        <v>2</v>
      </c>
      <c r="D134" s="125" t="s">
        <v>142</v>
      </c>
      <c r="E134" s="6" t="s">
        <v>384</v>
      </c>
      <c r="F134" s="126" t="s">
        <v>52</v>
      </c>
      <c r="G134" s="122"/>
      <c r="H134" s="122" t="s">
        <v>415</v>
      </c>
      <c r="I134" s="123" t="s">
        <v>414</v>
      </c>
      <c r="J134" s="197"/>
      <c r="K134" s="197"/>
      <c r="L134" s="197"/>
      <c r="M134" s="198"/>
      <c r="N134" s="198"/>
      <c r="O134" s="198"/>
      <c r="P134" s="197"/>
      <c r="Q134" s="106" t="b">
        <f t="shared" ref="Q134:Q197" si="9">IF(COUNTA(J134:P134)=0,FALSE,TRUE)</f>
        <v>0</v>
      </c>
      <c r="R134" s="199">
        <f t="shared" si="8"/>
        <v>0</v>
      </c>
    </row>
    <row r="135" spans="1:18" x14ac:dyDescent="0.3">
      <c r="A135" s="124">
        <v>5</v>
      </c>
      <c r="B135" s="37" t="s">
        <v>168</v>
      </c>
      <c r="C135" s="38">
        <v>3</v>
      </c>
      <c r="D135" s="125" t="s">
        <v>140</v>
      </c>
      <c r="E135" s="123" t="s">
        <v>385</v>
      </c>
      <c r="F135" s="126" t="s">
        <v>52</v>
      </c>
      <c r="G135" s="122"/>
      <c r="H135" s="122" t="s">
        <v>417</v>
      </c>
      <c r="I135" s="123" t="s">
        <v>416</v>
      </c>
      <c r="J135" s="197" t="s">
        <v>1383</v>
      </c>
      <c r="K135" s="197"/>
      <c r="L135" s="197"/>
      <c r="M135" s="198"/>
      <c r="N135" s="198"/>
      <c r="O135" s="198"/>
      <c r="P135" s="197"/>
      <c r="Q135" s="106" t="b">
        <f t="shared" si="9"/>
        <v>1</v>
      </c>
      <c r="R135" s="199">
        <f t="shared" si="8"/>
        <v>1</v>
      </c>
    </row>
    <row r="136" spans="1:18" x14ac:dyDescent="0.3">
      <c r="A136" s="124">
        <v>5</v>
      </c>
      <c r="B136" s="37" t="s">
        <v>168</v>
      </c>
      <c r="C136" s="38">
        <v>4</v>
      </c>
      <c r="D136" s="125" t="s">
        <v>141</v>
      </c>
      <c r="E136" s="123" t="s">
        <v>383</v>
      </c>
      <c r="F136" s="126" t="s">
        <v>52</v>
      </c>
      <c r="G136" s="122"/>
      <c r="H136" s="122" t="s">
        <v>413</v>
      </c>
      <c r="I136" s="123" t="s">
        <v>412</v>
      </c>
      <c r="J136" s="197" t="s">
        <v>1383</v>
      </c>
      <c r="K136" s="197"/>
      <c r="L136" s="197"/>
      <c r="M136" s="198"/>
      <c r="N136" s="198"/>
      <c r="O136" s="198"/>
      <c r="P136" s="197"/>
      <c r="Q136" s="106" t="b">
        <f t="shared" si="9"/>
        <v>1</v>
      </c>
      <c r="R136" s="199">
        <f t="shared" si="8"/>
        <v>1</v>
      </c>
    </row>
    <row r="137" spans="1:18" x14ac:dyDescent="0.3">
      <c r="A137" s="124">
        <v>5</v>
      </c>
      <c r="B137" s="37" t="s">
        <v>168</v>
      </c>
      <c r="C137" s="38">
        <v>5</v>
      </c>
      <c r="D137" s="125" t="s">
        <v>143</v>
      </c>
      <c r="E137" s="123" t="s">
        <v>386</v>
      </c>
      <c r="F137" s="122"/>
      <c r="G137" s="128" t="s">
        <v>53</v>
      </c>
      <c r="H137" s="154" t="s">
        <v>413</v>
      </c>
      <c r="I137" s="155" t="s">
        <v>412</v>
      </c>
      <c r="J137" s="197"/>
      <c r="K137" s="197"/>
      <c r="L137" s="197"/>
      <c r="M137" s="198"/>
      <c r="N137" s="198"/>
      <c r="O137" s="198"/>
      <c r="P137" s="197"/>
      <c r="Q137" s="106" t="b">
        <f t="shared" si="9"/>
        <v>0</v>
      </c>
      <c r="R137" s="199">
        <f t="shared" si="8"/>
        <v>0</v>
      </c>
    </row>
    <row r="138" spans="1:18" x14ac:dyDescent="0.3">
      <c r="A138" s="124">
        <v>5</v>
      </c>
      <c r="B138" s="37" t="s">
        <v>168</v>
      </c>
      <c r="C138" s="38">
        <v>6</v>
      </c>
      <c r="D138" s="125" t="s">
        <v>144</v>
      </c>
      <c r="E138" s="123" t="s">
        <v>387</v>
      </c>
      <c r="F138" s="126" t="s">
        <v>52</v>
      </c>
      <c r="G138" s="122"/>
      <c r="H138" s="122" t="s">
        <v>413</v>
      </c>
      <c r="I138" s="123" t="s">
        <v>412</v>
      </c>
      <c r="J138" s="197" t="s">
        <v>1383</v>
      </c>
      <c r="K138" s="197"/>
      <c r="L138" s="197"/>
      <c r="M138" s="198"/>
      <c r="N138" s="198"/>
      <c r="O138" s="198"/>
      <c r="P138" s="197"/>
      <c r="Q138" s="106" t="b">
        <f t="shared" si="9"/>
        <v>1</v>
      </c>
      <c r="R138" s="199">
        <f t="shared" si="8"/>
        <v>1</v>
      </c>
    </row>
    <row r="139" spans="1:18" x14ac:dyDescent="0.3">
      <c r="A139" s="124">
        <v>5</v>
      </c>
      <c r="B139" s="37" t="s">
        <v>168</v>
      </c>
      <c r="C139" s="38">
        <v>7</v>
      </c>
      <c r="D139" s="125" t="s">
        <v>145</v>
      </c>
      <c r="E139" s="123" t="s">
        <v>388</v>
      </c>
      <c r="F139" s="126" t="s">
        <v>52</v>
      </c>
      <c r="G139" s="122"/>
      <c r="H139" s="122" t="s">
        <v>417</v>
      </c>
      <c r="I139" s="123" t="s">
        <v>416</v>
      </c>
      <c r="J139" s="197" t="s">
        <v>1383</v>
      </c>
      <c r="K139" s="197"/>
      <c r="L139" s="197"/>
      <c r="M139" s="198"/>
      <c r="N139" s="198"/>
      <c r="O139" s="198"/>
      <c r="P139" s="197"/>
      <c r="Q139" s="106" t="b">
        <f t="shared" si="9"/>
        <v>1</v>
      </c>
      <c r="R139" s="199">
        <f t="shared" si="8"/>
        <v>1</v>
      </c>
    </row>
    <row r="140" spans="1:18" x14ac:dyDescent="0.3">
      <c r="A140" s="124">
        <v>5</v>
      </c>
      <c r="B140" s="37" t="s">
        <v>168</v>
      </c>
      <c r="C140" s="38">
        <v>8</v>
      </c>
      <c r="D140" s="125" t="s">
        <v>146</v>
      </c>
      <c r="E140" s="123" t="s">
        <v>389</v>
      </c>
      <c r="F140" s="122"/>
      <c r="G140" s="128" t="s">
        <v>53</v>
      </c>
      <c r="H140" s="154" t="s">
        <v>413</v>
      </c>
      <c r="I140" s="155" t="s">
        <v>412</v>
      </c>
      <c r="J140" s="197"/>
      <c r="K140" s="197"/>
      <c r="L140" s="197"/>
      <c r="M140" s="198"/>
      <c r="N140" s="198"/>
      <c r="O140" s="198"/>
      <c r="P140" s="197"/>
      <c r="Q140" s="106" t="b">
        <f t="shared" si="9"/>
        <v>0</v>
      </c>
      <c r="R140" s="199">
        <f t="shared" si="8"/>
        <v>0</v>
      </c>
    </row>
    <row r="141" spans="1:18" x14ac:dyDescent="0.3">
      <c r="A141" s="124">
        <v>5</v>
      </c>
      <c r="B141" s="37" t="s">
        <v>168</v>
      </c>
      <c r="C141" s="38">
        <v>9</v>
      </c>
      <c r="D141" s="125" t="s">
        <v>147</v>
      </c>
      <c r="E141" s="123" t="s">
        <v>390</v>
      </c>
      <c r="F141" s="122"/>
      <c r="G141" s="128" t="s">
        <v>53</v>
      </c>
      <c r="H141" s="154" t="s">
        <v>413</v>
      </c>
      <c r="I141" s="155" t="s">
        <v>412</v>
      </c>
      <c r="J141" s="197"/>
      <c r="K141" s="197"/>
      <c r="L141" s="197"/>
      <c r="M141" s="198"/>
      <c r="N141" s="198"/>
      <c r="O141" s="198"/>
      <c r="P141" s="197"/>
      <c r="Q141" s="106" t="b">
        <f t="shared" si="9"/>
        <v>0</v>
      </c>
      <c r="R141" s="199">
        <f t="shared" si="8"/>
        <v>0</v>
      </c>
    </row>
    <row r="142" spans="1:18" x14ac:dyDescent="0.3">
      <c r="A142" s="124">
        <v>5</v>
      </c>
      <c r="B142" s="37" t="s">
        <v>168</v>
      </c>
      <c r="C142" s="38">
        <v>10</v>
      </c>
      <c r="D142" s="125" t="s">
        <v>148</v>
      </c>
      <c r="E142" s="123" t="s">
        <v>391</v>
      </c>
      <c r="F142" s="126" t="s">
        <v>52</v>
      </c>
      <c r="G142" s="122"/>
      <c r="H142" s="122" t="s">
        <v>413</v>
      </c>
      <c r="I142" s="123" t="s">
        <v>412</v>
      </c>
      <c r="J142" s="197" t="s">
        <v>1383</v>
      </c>
      <c r="K142" s="197" t="s">
        <v>1383</v>
      </c>
      <c r="L142" s="197"/>
      <c r="M142" s="198"/>
      <c r="N142" s="198"/>
      <c r="O142" s="198"/>
      <c r="P142" s="197"/>
      <c r="Q142" s="106" t="b">
        <f t="shared" si="9"/>
        <v>1</v>
      </c>
      <c r="R142" s="199">
        <f t="shared" si="8"/>
        <v>2</v>
      </c>
    </row>
    <row r="143" spans="1:18" x14ac:dyDescent="0.3">
      <c r="A143" s="124">
        <v>5</v>
      </c>
      <c r="B143" s="37" t="s">
        <v>168</v>
      </c>
      <c r="C143" s="38">
        <v>11</v>
      </c>
      <c r="D143" s="125" t="s">
        <v>149</v>
      </c>
      <c r="E143" s="123" t="s">
        <v>392</v>
      </c>
      <c r="F143" s="126" t="s">
        <v>52</v>
      </c>
      <c r="G143" s="122"/>
      <c r="H143" s="122" t="s">
        <v>413</v>
      </c>
      <c r="I143" s="123" t="s">
        <v>412</v>
      </c>
      <c r="J143" s="197" t="s">
        <v>1383</v>
      </c>
      <c r="K143" s="197" t="s">
        <v>1383</v>
      </c>
      <c r="L143" s="197"/>
      <c r="M143" s="198"/>
      <c r="N143" s="198"/>
      <c r="O143" s="198"/>
      <c r="P143" s="197"/>
      <c r="Q143" s="106" t="b">
        <f t="shared" si="9"/>
        <v>1</v>
      </c>
      <c r="R143" s="199">
        <f t="shared" si="8"/>
        <v>2</v>
      </c>
    </row>
    <row r="144" spans="1:18" x14ac:dyDescent="0.3">
      <c r="A144" s="124">
        <v>5</v>
      </c>
      <c r="B144" s="37" t="s">
        <v>168</v>
      </c>
      <c r="C144" s="38">
        <v>12</v>
      </c>
      <c r="D144" s="125" t="s">
        <v>121</v>
      </c>
      <c r="E144" s="123" t="s">
        <v>393</v>
      </c>
      <c r="F144" s="126" t="s">
        <v>52</v>
      </c>
      <c r="G144" s="122"/>
      <c r="H144" s="122" t="s">
        <v>413</v>
      </c>
      <c r="I144" s="123" t="s">
        <v>412</v>
      </c>
      <c r="J144" s="197" t="s">
        <v>1383</v>
      </c>
      <c r="K144" s="197"/>
      <c r="L144" s="197" t="s">
        <v>1383</v>
      </c>
      <c r="M144" s="198"/>
      <c r="N144" s="198"/>
      <c r="O144" s="198"/>
      <c r="P144" s="197"/>
      <c r="Q144" s="106" t="b">
        <f t="shared" si="9"/>
        <v>1</v>
      </c>
      <c r="R144" s="199">
        <f t="shared" si="8"/>
        <v>2</v>
      </c>
    </row>
    <row r="145" spans="1:18" x14ac:dyDescent="0.3">
      <c r="A145" s="124">
        <v>5</v>
      </c>
      <c r="B145" s="37" t="s">
        <v>168</v>
      </c>
      <c r="C145" s="38">
        <v>13</v>
      </c>
      <c r="D145" s="125" t="s">
        <v>150</v>
      </c>
      <c r="E145" s="123" t="s">
        <v>394</v>
      </c>
      <c r="F145" s="126" t="s">
        <v>52</v>
      </c>
      <c r="G145" s="122"/>
      <c r="H145" s="122" t="s">
        <v>413</v>
      </c>
      <c r="I145" s="123" t="s">
        <v>412</v>
      </c>
      <c r="J145" s="197" t="s">
        <v>1383</v>
      </c>
      <c r="K145" s="197"/>
      <c r="L145" s="197"/>
      <c r="M145" s="198"/>
      <c r="N145" s="198"/>
      <c r="O145" s="198"/>
      <c r="P145" s="197"/>
      <c r="Q145" s="106" t="b">
        <f t="shared" si="9"/>
        <v>1</v>
      </c>
      <c r="R145" s="199">
        <f t="shared" si="8"/>
        <v>1</v>
      </c>
    </row>
    <row r="146" spans="1:18" x14ac:dyDescent="0.3">
      <c r="A146" s="124">
        <v>5</v>
      </c>
      <c r="B146" s="37" t="s">
        <v>168</v>
      </c>
      <c r="C146" s="38">
        <v>14</v>
      </c>
      <c r="D146" s="125" t="s">
        <v>151</v>
      </c>
      <c r="E146" s="123" t="s">
        <v>395</v>
      </c>
      <c r="F146" s="126" t="s">
        <v>52</v>
      </c>
      <c r="G146" s="122"/>
      <c r="H146" s="122" t="s">
        <v>415</v>
      </c>
      <c r="I146" s="123" t="s">
        <v>414</v>
      </c>
      <c r="J146" s="197" t="s">
        <v>1383</v>
      </c>
      <c r="K146" s="197"/>
      <c r="L146" s="197"/>
      <c r="M146" s="198"/>
      <c r="N146" s="198"/>
      <c r="O146" s="198"/>
      <c r="P146" s="197"/>
      <c r="Q146" s="106" t="b">
        <f t="shared" si="9"/>
        <v>1</v>
      </c>
      <c r="R146" s="199">
        <f t="shared" si="8"/>
        <v>1</v>
      </c>
    </row>
    <row r="147" spans="1:18" x14ac:dyDescent="0.3">
      <c r="A147" s="124">
        <v>5</v>
      </c>
      <c r="B147" s="37" t="s">
        <v>168</v>
      </c>
      <c r="C147" s="38">
        <v>15</v>
      </c>
      <c r="D147" s="125" t="s">
        <v>152</v>
      </c>
      <c r="E147" s="123" t="s">
        <v>396</v>
      </c>
      <c r="F147" s="126" t="s">
        <v>52</v>
      </c>
      <c r="G147" s="122"/>
      <c r="H147" s="122" t="s">
        <v>413</v>
      </c>
      <c r="I147" s="123" t="s">
        <v>412</v>
      </c>
      <c r="J147" s="197" t="s">
        <v>1383</v>
      </c>
      <c r="K147" s="197" t="s">
        <v>1383</v>
      </c>
      <c r="L147" s="197"/>
      <c r="M147" s="198"/>
      <c r="N147" s="198"/>
      <c r="O147" s="198"/>
      <c r="P147" s="197"/>
      <c r="Q147" s="106" t="b">
        <f t="shared" si="9"/>
        <v>1</v>
      </c>
      <c r="R147" s="199">
        <f t="shared" si="8"/>
        <v>2</v>
      </c>
    </row>
    <row r="148" spans="1:18" x14ac:dyDescent="0.3">
      <c r="A148" s="124">
        <v>5</v>
      </c>
      <c r="B148" s="37" t="s">
        <v>168</v>
      </c>
      <c r="C148" s="38">
        <v>16</v>
      </c>
      <c r="D148" s="125" t="s">
        <v>153</v>
      </c>
      <c r="E148" s="123" t="s">
        <v>397</v>
      </c>
      <c r="F148" s="126" t="s">
        <v>52</v>
      </c>
      <c r="G148" s="122"/>
      <c r="H148" s="122" t="s">
        <v>413</v>
      </c>
      <c r="I148" s="123" t="s">
        <v>412</v>
      </c>
      <c r="J148" s="197" t="s">
        <v>1383</v>
      </c>
      <c r="K148" s="197"/>
      <c r="L148" s="197" t="s">
        <v>1383</v>
      </c>
      <c r="M148" s="198"/>
      <c r="N148" s="198"/>
      <c r="O148" s="198"/>
      <c r="P148" s="197"/>
      <c r="Q148" s="106" t="b">
        <f t="shared" si="9"/>
        <v>1</v>
      </c>
      <c r="R148" s="199">
        <f t="shared" si="8"/>
        <v>2</v>
      </c>
    </row>
    <row r="149" spans="1:18" x14ac:dyDescent="0.3">
      <c r="A149" s="124">
        <v>5</v>
      </c>
      <c r="B149" s="37" t="s">
        <v>168</v>
      </c>
      <c r="C149" s="38">
        <v>17</v>
      </c>
      <c r="D149" s="125" t="s">
        <v>154</v>
      </c>
      <c r="E149" s="123" t="s">
        <v>398</v>
      </c>
      <c r="F149" s="122"/>
      <c r="G149" s="128" t="s">
        <v>53</v>
      </c>
      <c r="H149" s="154" t="s">
        <v>413</v>
      </c>
      <c r="I149" s="155" t="s">
        <v>412</v>
      </c>
      <c r="J149" s="197" t="s">
        <v>1383</v>
      </c>
      <c r="K149" s="197" t="s">
        <v>1383</v>
      </c>
      <c r="L149" s="197"/>
      <c r="M149" s="198"/>
      <c r="N149" s="198"/>
      <c r="O149" s="198"/>
      <c r="P149" s="197"/>
      <c r="Q149" s="106" t="b">
        <f t="shared" si="9"/>
        <v>1</v>
      </c>
      <c r="R149" s="199">
        <f t="shared" si="8"/>
        <v>2</v>
      </c>
    </row>
    <row r="150" spans="1:18" x14ac:dyDescent="0.3">
      <c r="A150" s="124">
        <v>5</v>
      </c>
      <c r="B150" s="37" t="s">
        <v>168</v>
      </c>
      <c r="C150" s="38">
        <v>18</v>
      </c>
      <c r="D150" s="163" t="s">
        <v>155</v>
      </c>
      <c r="E150" s="123" t="s">
        <v>399</v>
      </c>
      <c r="F150" s="126" t="s">
        <v>52</v>
      </c>
      <c r="G150" s="122"/>
      <c r="H150" s="122" t="s">
        <v>413</v>
      </c>
      <c r="I150" s="123" t="s">
        <v>412</v>
      </c>
      <c r="J150" s="197" t="s">
        <v>1383</v>
      </c>
      <c r="K150" s="197" t="s">
        <v>1383</v>
      </c>
      <c r="L150" s="197"/>
      <c r="M150" s="198"/>
      <c r="N150" s="198"/>
      <c r="O150" s="198"/>
      <c r="P150" s="197"/>
      <c r="Q150" s="106" t="b">
        <f t="shared" si="9"/>
        <v>1</v>
      </c>
      <c r="R150" s="199">
        <f t="shared" si="8"/>
        <v>2</v>
      </c>
    </row>
    <row r="151" spans="1:18" x14ac:dyDescent="0.3">
      <c r="A151" s="124">
        <v>5</v>
      </c>
      <c r="B151" s="37" t="s">
        <v>168</v>
      </c>
      <c r="C151" s="38">
        <v>19</v>
      </c>
      <c r="D151" s="164" t="s">
        <v>1396</v>
      </c>
      <c r="E151" s="123" t="s">
        <v>400</v>
      </c>
      <c r="F151" s="126" t="s">
        <v>52</v>
      </c>
      <c r="G151" s="122"/>
      <c r="H151" s="122" t="s">
        <v>413</v>
      </c>
      <c r="I151" s="123" t="s">
        <v>412</v>
      </c>
      <c r="J151" s="197" t="s">
        <v>1383</v>
      </c>
      <c r="K151" s="197"/>
      <c r="L151" s="197" t="s">
        <v>1383</v>
      </c>
      <c r="M151" s="198"/>
      <c r="N151" s="198"/>
      <c r="O151" s="198"/>
      <c r="P151" s="197"/>
      <c r="Q151" s="106" t="b">
        <f t="shared" si="9"/>
        <v>1</v>
      </c>
      <c r="R151" s="199">
        <f t="shared" si="8"/>
        <v>2</v>
      </c>
    </row>
    <row r="152" spans="1:18" x14ac:dyDescent="0.3">
      <c r="A152" s="124">
        <v>5</v>
      </c>
      <c r="B152" s="37" t="s">
        <v>168</v>
      </c>
      <c r="C152" s="38">
        <v>20</v>
      </c>
      <c r="D152" s="17" t="s">
        <v>1397</v>
      </c>
      <c r="E152" s="123" t="s">
        <v>401</v>
      </c>
      <c r="F152" s="126" t="s">
        <v>52</v>
      </c>
      <c r="G152" s="122"/>
      <c r="H152" s="122" t="s">
        <v>413</v>
      </c>
      <c r="I152" s="123" t="s">
        <v>412</v>
      </c>
      <c r="J152" s="197" t="s">
        <v>1383</v>
      </c>
      <c r="K152" s="197"/>
      <c r="L152" s="197"/>
      <c r="M152" s="198" t="s">
        <v>1383</v>
      </c>
      <c r="N152" s="198"/>
      <c r="O152" s="198"/>
      <c r="P152" s="197"/>
      <c r="Q152" s="106" t="b">
        <f t="shared" si="9"/>
        <v>1</v>
      </c>
      <c r="R152" s="199">
        <f t="shared" si="8"/>
        <v>2</v>
      </c>
    </row>
    <row r="153" spans="1:18" x14ac:dyDescent="0.3">
      <c r="A153" s="124">
        <v>5</v>
      </c>
      <c r="B153" s="37" t="s">
        <v>168</v>
      </c>
      <c r="C153" s="38">
        <v>21</v>
      </c>
      <c r="D153" s="125" t="s">
        <v>156</v>
      </c>
      <c r="E153" s="123" t="s">
        <v>402</v>
      </c>
      <c r="F153" s="126" t="s">
        <v>52</v>
      </c>
      <c r="G153" s="122"/>
      <c r="H153" s="122" t="s">
        <v>413</v>
      </c>
      <c r="I153" s="123" t="s">
        <v>412</v>
      </c>
      <c r="J153" s="197"/>
      <c r="K153" s="197"/>
      <c r="L153" s="197"/>
      <c r="M153" s="198"/>
      <c r="N153" s="198"/>
      <c r="O153" s="198"/>
      <c r="P153" s="197"/>
      <c r="Q153" s="106" t="b">
        <f t="shared" si="9"/>
        <v>0</v>
      </c>
      <c r="R153" s="199">
        <f t="shared" si="8"/>
        <v>0</v>
      </c>
    </row>
    <row r="154" spans="1:18" x14ac:dyDescent="0.3">
      <c r="A154" s="124">
        <v>5</v>
      </c>
      <c r="B154" s="37" t="s">
        <v>168</v>
      </c>
      <c r="C154" s="38">
        <v>22</v>
      </c>
      <c r="D154" s="125" t="s">
        <v>157</v>
      </c>
      <c r="E154" s="123" t="s">
        <v>403</v>
      </c>
      <c r="F154" s="126" t="s">
        <v>52</v>
      </c>
      <c r="G154" s="122"/>
      <c r="H154" s="122" t="s">
        <v>413</v>
      </c>
      <c r="I154" s="123" t="s">
        <v>412</v>
      </c>
      <c r="J154" s="197" t="s">
        <v>1383</v>
      </c>
      <c r="K154" s="197"/>
      <c r="L154" s="197"/>
      <c r="M154" s="198"/>
      <c r="N154" s="198"/>
      <c r="O154" s="198"/>
      <c r="P154" s="197"/>
      <c r="Q154" s="106" t="b">
        <f t="shared" si="9"/>
        <v>1</v>
      </c>
      <c r="R154" s="199">
        <f t="shared" si="8"/>
        <v>1</v>
      </c>
    </row>
    <row r="155" spans="1:18" x14ac:dyDescent="0.3">
      <c r="A155" s="124">
        <v>5</v>
      </c>
      <c r="B155" s="37" t="s">
        <v>168</v>
      </c>
      <c r="C155" s="38">
        <v>23</v>
      </c>
      <c r="D155" s="125" t="s">
        <v>158</v>
      </c>
      <c r="E155" s="123" t="s">
        <v>404</v>
      </c>
      <c r="F155" s="126" t="s">
        <v>52</v>
      </c>
      <c r="G155" s="122"/>
      <c r="H155" s="122" t="s">
        <v>413</v>
      </c>
      <c r="I155" s="123" t="s">
        <v>412</v>
      </c>
      <c r="J155" s="197" t="s">
        <v>1383</v>
      </c>
      <c r="K155" s="197" t="s">
        <v>1383</v>
      </c>
      <c r="L155" s="197"/>
      <c r="M155" s="198"/>
      <c r="N155" s="198"/>
      <c r="O155" s="198"/>
      <c r="P155" s="197"/>
      <c r="Q155" s="106" t="b">
        <f t="shared" si="9"/>
        <v>1</v>
      </c>
      <c r="R155" s="199">
        <f t="shared" si="8"/>
        <v>2</v>
      </c>
    </row>
    <row r="156" spans="1:18" x14ac:dyDescent="0.3">
      <c r="A156" s="124">
        <v>5</v>
      </c>
      <c r="B156" s="37" t="s">
        <v>168</v>
      </c>
      <c r="C156" s="38">
        <v>24</v>
      </c>
      <c r="D156" s="125" t="s">
        <v>159</v>
      </c>
      <c r="E156" s="123" t="s">
        <v>405</v>
      </c>
      <c r="F156" s="126" t="s">
        <v>52</v>
      </c>
      <c r="G156" s="122"/>
      <c r="H156" s="122" t="s">
        <v>413</v>
      </c>
      <c r="I156" s="123" t="s">
        <v>412</v>
      </c>
      <c r="J156" s="197"/>
      <c r="K156" s="197"/>
      <c r="L156" s="197"/>
      <c r="M156" s="198"/>
      <c r="N156" s="198"/>
      <c r="O156" s="198"/>
      <c r="P156" s="197"/>
      <c r="Q156" s="106" t="b">
        <f t="shared" si="9"/>
        <v>0</v>
      </c>
      <c r="R156" s="199">
        <f t="shared" si="8"/>
        <v>0</v>
      </c>
    </row>
    <row r="157" spans="1:18" x14ac:dyDescent="0.3">
      <c r="A157" s="124">
        <v>5</v>
      </c>
      <c r="B157" s="37" t="s">
        <v>168</v>
      </c>
      <c r="C157" s="38">
        <v>25</v>
      </c>
      <c r="D157" s="125" t="s">
        <v>160</v>
      </c>
      <c r="E157" s="123" t="s">
        <v>406</v>
      </c>
      <c r="F157" s="126" t="s">
        <v>52</v>
      </c>
      <c r="G157" s="122"/>
      <c r="H157" s="122" t="s">
        <v>413</v>
      </c>
      <c r="I157" s="123" t="s">
        <v>412</v>
      </c>
      <c r="J157" s="197" t="s">
        <v>1383</v>
      </c>
      <c r="K157" s="197"/>
      <c r="L157" s="197"/>
      <c r="M157" s="198"/>
      <c r="N157" s="198"/>
      <c r="O157" s="198"/>
      <c r="P157" s="197"/>
      <c r="Q157" s="106" t="b">
        <f t="shared" si="9"/>
        <v>1</v>
      </c>
      <c r="R157" s="199">
        <f t="shared" si="8"/>
        <v>1</v>
      </c>
    </row>
    <row r="158" spans="1:18" x14ac:dyDescent="0.3">
      <c r="A158" s="124">
        <v>5</v>
      </c>
      <c r="B158" s="37" t="s">
        <v>168</v>
      </c>
      <c r="C158" s="38">
        <v>26</v>
      </c>
      <c r="D158" s="125" t="s">
        <v>161</v>
      </c>
      <c r="E158" s="123" t="s">
        <v>407</v>
      </c>
      <c r="F158" s="126" t="s">
        <v>52</v>
      </c>
      <c r="G158" s="122"/>
      <c r="H158" s="122" t="s">
        <v>413</v>
      </c>
      <c r="I158" s="123" t="s">
        <v>412</v>
      </c>
      <c r="J158" s="197" t="s">
        <v>1383</v>
      </c>
      <c r="K158" s="197" t="s">
        <v>1383</v>
      </c>
      <c r="L158" s="197"/>
      <c r="M158" s="198"/>
      <c r="N158" s="198"/>
      <c r="O158" s="198"/>
      <c r="P158" s="197" t="s">
        <v>1383</v>
      </c>
      <c r="Q158" s="106" t="b">
        <f t="shared" si="9"/>
        <v>1</v>
      </c>
      <c r="R158" s="199">
        <f t="shared" si="8"/>
        <v>3</v>
      </c>
    </row>
    <row r="159" spans="1:18" x14ac:dyDescent="0.3">
      <c r="A159" s="124">
        <v>5</v>
      </c>
      <c r="B159" s="37" t="s">
        <v>168</v>
      </c>
      <c r="C159" s="38">
        <v>27</v>
      </c>
      <c r="D159" s="125" t="s">
        <v>162</v>
      </c>
      <c r="E159" s="123" t="s">
        <v>408</v>
      </c>
      <c r="F159" s="126" t="s">
        <v>52</v>
      </c>
      <c r="G159" s="122"/>
      <c r="H159" s="122" t="s">
        <v>413</v>
      </c>
      <c r="I159" s="123" t="s">
        <v>412</v>
      </c>
      <c r="J159" s="197" t="s">
        <v>1383</v>
      </c>
      <c r="K159" s="197"/>
      <c r="L159" s="197" t="s">
        <v>1383</v>
      </c>
      <c r="M159" s="198"/>
      <c r="N159" s="198"/>
      <c r="O159" s="198"/>
      <c r="P159" s="197"/>
      <c r="Q159" s="106" t="b">
        <f t="shared" si="9"/>
        <v>1</v>
      </c>
      <c r="R159" s="199">
        <f t="shared" si="8"/>
        <v>2</v>
      </c>
    </row>
    <row r="160" spans="1:18" x14ac:dyDescent="0.3">
      <c r="A160" s="124">
        <v>5</v>
      </c>
      <c r="B160" s="37" t="s">
        <v>168</v>
      </c>
      <c r="C160" s="38">
        <v>28</v>
      </c>
      <c r="D160" s="125" t="s">
        <v>163</v>
      </c>
      <c r="E160" s="123" t="s">
        <v>409</v>
      </c>
      <c r="F160" s="126" t="s">
        <v>52</v>
      </c>
      <c r="G160" s="122"/>
      <c r="H160" s="122" t="s">
        <v>413</v>
      </c>
      <c r="I160" s="123" t="s">
        <v>412</v>
      </c>
      <c r="J160" s="197" t="s">
        <v>1383</v>
      </c>
      <c r="K160" s="197"/>
      <c r="L160" s="197"/>
      <c r="M160" s="198"/>
      <c r="N160" s="198"/>
      <c r="O160" s="198"/>
      <c r="P160" s="197"/>
      <c r="Q160" s="106" t="b">
        <f t="shared" si="9"/>
        <v>1</v>
      </c>
      <c r="R160" s="199">
        <f t="shared" si="8"/>
        <v>1</v>
      </c>
    </row>
    <row r="161" spans="1:18" x14ac:dyDescent="0.3">
      <c r="A161" s="124">
        <v>5</v>
      </c>
      <c r="B161" s="37" t="s">
        <v>168</v>
      </c>
      <c r="C161" s="38">
        <v>29</v>
      </c>
      <c r="D161" s="125" t="s">
        <v>164</v>
      </c>
      <c r="E161" s="123" t="s">
        <v>410</v>
      </c>
      <c r="F161" s="126" t="s">
        <v>52</v>
      </c>
      <c r="G161" s="122"/>
      <c r="H161" s="122" t="s">
        <v>413</v>
      </c>
      <c r="I161" s="123" t="s">
        <v>412</v>
      </c>
      <c r="J161" s="197" t="s">
        <v>1383</v>
      </c>
      <c r="K161" s="197"/>
      <c r="L161" s="197"/>
      <c r="M161" s="198"/>
      <c r="N161" s="198"/>
      <c r="O161" s="198"/>
      <c r="P161" s="197"/>
      <c r="Q161" s="106" t="b">
        <f t="shared" si="9"/>
        <v>1</v>
      </c>
      <c r="R161" s="199">
        <f t="shared" si="8"/>
        <v>1</v>
      </c>
    </row>
    <row r="162" spans="1:18" ht="19.5" thickBot="1" x14ac:dyDescent="0.35">
      <c r="A162" s="132">
        <v>5</v>
      </c>
      <c r="B162" s="39" t="s">
        <v>168</v>
      </c>
      <c r="C162" s="45">
        <v>30</v>
      </c>
      <c r="D162" s="156" t="s">
        <v>165</v>
      </c>
      <c r="E162" s="159" t="s">
        <v>411</v>
      </c>
      <c r="F162" s="157" t="s">
        <v>52</v>
      </c>
      <c r="G162" s="158"/>
      <c r="H162" s="158" t="s">
        <v>413</v>
      </c>
      <c r="I162" s="159" t="s">
        <v>412</v>
      </c>
      <c r="J162" s="200" t="s">
        <v>1383</v>
      </c>
      <c r="K162" s="200"/>
      <c r="L162" s="200"/>
      <c r="M162" s="201"/>
      <c r="N162" s="201"/>
      <c r="O162" s="201"/>
      <c r="P162" s="200"/>
      <c r="Q162" s="244" t="b">
        <f t="shared" si="9"/>
        <v>1</v>
      </c>
      <c r="R162" s="202">
        <f t="shared" si="8"/>
        <v>1</v>
      </c>
    </row>
    <row r="163" spans="1:18" ht="19.5" hidden="1" thickBot="1" x14ac:dyDescent="0.3">
      <c r="A163" s="137">
        <f>A162</f>
        <v>5</v>
      </c>
      <c r="B163" s="138" t="str">
        <f>B162</f>
        <v>DUMALINAO</v>
      </c>
      <c r="C163" s="15">
        <f>COUNTA(C133:C162)</f>
        <v>30</v>
      </c>
      <c r="D163" s="139" t="s">
        <v>1</v>
      </c>
      <c r="E163" s="139" t="s">
        <v>1374</v>
      </c>
      <c r="F163" s="15">
        <f>COUNTA(F133:F162)</f>
        <v>26</v>
      </c>
      <c r="G163" s="15">
        <f>COUNTA(G133:G162)</f>
        <v>4</v>
      </c>
      <c r="H163" s="291" t="s">
        <v>3</v>
      </c>
      <c r="I163" s="292"/>
      <c r="J163" s="15">
        <f t="shared" ref="J163:P163" si="10">COUNTA(J133:J162)</f>
        <v>24</v>
      </c>
      <c r="K163" s="15">
        <f t="shared" si="10"/>
        <v>7</v>
      </c>
      <c r="L163" s="15">
        <f t="shared" si="10"/>
        <v>4</v>
      </c>
      <c r="M163" s="15">
        <f t="shared" si="10"/>
        <v>1</v>
      </c>
      <c r="N163" s="15">
        <f t="shared" si="10"/>
        <v>0</v>
      </c>
      <c r="O163" s="15">
        <f t="shared" si="10"/>
        <v>0</v>
      </c>
      <c r="P163" s="15">
        <f t="shared" si="10"/>
        <v>2</v>
      </c>
      <c r="Q163" s="77">
        <f>COUNTIF(Q133:Q162,TRUE)</f>
        <v>24</v>
      </c>
      <c r="R163" s="249">
        <f>SUM(J163:P163)</f>
        <v>38</v>
      </c>
    </row>
    <row r="164" spans="1:18" x14ac:dyDescent="0.3">
      <c r="A164" s="140">
        <v>6</v>
      </c>
      <c r="B164" s="36" t="s">
        <v>210</v>
      </c>
      <c r="C164" s="46">
        <v>1</v>
      </c>
      <c r="D164" s="120" t="s">
        <v>172</v>
      </c>
      <c r="E164" s="144" t="s">
        <v>222</v>
      </c>
      <c r="F164" s="121" t="s">
        <v>52</v>
      </c>
      <c r="G164" s="165"/>
      <c r="H164" s="142" t="s">
        <v>258</v>
      </c>
      <c r="I164" s="144" t="s">
        <v>213</v>
      </c>
      <c r="J164" s="209"/>
      <c r="K164" s="209"/>
      <c r="L164" s="209"/>
      <c r="M164" s="210"/>
      <c r="N164" s="210"/>
      <c r="O164" s="210"/>
      <c r="P164" s="209"/>
      <c r="Q164" s="106" t="b">
        <f t="shared" si="9"/>
        <v>0</v>
      </c>
      <c r="R164" s="196">
        <f t="shared" si="8"/>
        <v>0</v>
      </c>
    </row>
    <row r="165" spans="1:18" x14ac:dyDescent="0.3">
      <c r="A165" s="124">
        <v>6</v>
      </c>
      <c r="B165" s="37" t="s">
        <v>210</v>
      </c>
      <c r="C165" s="38">
        <v>2</v>
      </c>
      <c r="D165" s="125" t="s">
        <v>173</v>
      </c>
      <c r="E165" s="123" t="s">
        <v>226</v>
      </c>
      <c r="F165" s="126" t="s">
        <v>52</v>
      </c>
      <c r="G165" s="128"/>
      <c r="H165" s="122" t="s">
        <v>257</v>
      </c>
      <c r="I165" s="123" t="s">
        <v>259</v>
      </c>
      <c r="J165" s="212"/>
      <c r="K165" s="212"/>
      <c r="L165" s="212"/>
      <c r="M165" s="213"/>
      <c r="N165" s="213"/>
      <c r="O165" s="213"/>
      <c r="P165" s="212"/>
      <c r="Q165" s="106" t="b">
        <f t="shared" si="9"/>
        <v>0</v>
      </c>
      <c r="R165" s="199">
        <f t="shared" si="8"/>
        <v>0</v>
      </c>
    </row>
    <row r="166" spans="1:18" x14ac:dyDescent="0.3">
      <c r="A166" s="124">
        <v>6</v>
      </c>
      <c r="B166" s="37" t="s">
        <v>210</v>
      </c>
      <c r="C166" s="38">
        <v>3</v>
      </c>
      <c r="D166" s="125" t="s">
        <v>171</v>
      </c>
      <c r="E166" s="123" t="s">
        <v>213</v>
      </c>
      <c r="F166" s="126" t="s">
        <v>52</v>
      </c>
      <c r="G166" s="131"/>
      <c r="H166" s="122" t="s">
        <v>315</v>
      </c>
      <c r="I166" s="123" t="s">
        <v>263</v>
      </c>
      <c r="J166" s="212" t="s">
        <v>1383</v>
      </c>
      <c r="K166" s="212"/>
      <c r="L166" s="212"/>
      <c r="M166" s="213"/>
      <c r="N166" s="213"/>
      <c r="O166" s="213"/>
      <c r="P166" s="212"/>
      <c r="Q166" s="106" t="b">
        <f t="shared" si="9"/>
        <v>1</v>
      </c>
      <c r="R166" s="199">
        <f t="shared" si="8"/>
        <v>1</v>
      </c>
    </row>
    <row r="167" spans="1:18" x14ac:dyDescent="0.3">
      <c r="A167" s="124">
        <v>6</v>
      </c>
      <c r="B167" s="37" t="s">
        <v>210</v>
      </c>
      <c r="C167" s="38">
        <v>4</v>
      </c>
      <c r="D167" s="125" t="s">
        <v>174</v>
      </c>
      <c r="E167" s="123" t="s">
        <v>214</v>
      </c>
      <c r="F167" s="131"/>
      <c r="G167" s="128" t="s">
        <v>53</v>
      </c>
      <c r="H167" s="154" t="s">
        <v>258</v>
      </c>
      <c r="I167" s="155" t="s">
        <v>213</v>
      </c>
      <c r="J167" s="212"/>
      <c r="K167" s="212"/>
      <c r="L167" s="212"/>
      <c r="M167" s="213"/>
      <c r="N167" s="213"/>
      <c r="O167" s="213"/>
      <c r="P167" s="212"/>
      <c r="Q167" s="106" t="b">
        <f t="shared" si="9"/>
        <v>0</v>
      </c>
      <c r="R167" s="199">
        <f t="shared" si="8"/>
        <v>0</v>
      </c>
    </row>
    <row r="168" spans="1:18" x14ac:dyDescent="0.3">
      <c r="A168" s="124">
        <v>6</v>
      </c>
      <c r="B168" s="37" t="s">
        <v>210</v>
      </c>
      <c r="C168" s="38">
        <v>5</v>
      </c>
      <c r="D168" s="125" t="s">
        <v>175</v>
      </c>
      <c r="E168" s="123" t="s">
        <v>215</v>
      </c>
      <c r="F168" s="126" t="s">
        <v>52</v>
      </c>
      <c r="G168" s="131"/>
      <c r="H168" s="122" t="s">
        <v>258</v>
      </c>
      <c r="I168" s="123" t="s">
        <v>213</v>
      </c>
      <c r="J168" s="212" t="s">
        <v>1383</v>
      </c>
      <c r="K168" s="212"/>
      <c r="L168" s="212"/>
      <c r="M168" s="213"/>
      <c r="N168" s="213"/>
      <c r="O168" s="213"/>
      <c r="P168" s="212"/>
      <c r="Q168" s="106" t="b">
        <f t="shared" si="9"/>
        <v>1</v>
      </c>
      <c r="R168" s="199">
        <f t="shared" si="8"/>
        <v>1</v>
      </c>
    </row>
    <row r="169" spans="1:18" x14ac:dyDescent="0.3">
      <c r="A169" s="124">
        <v>6</v>
      </c>
      <c r="B169" s="37" t="s">
        <v>210</v>
      </c>
      <c r="C169" s="38">
        <v>6</v>
      </c>
      <c r="D169" s="125" t="s">
        <v>176</v>
      </c>
      <c r="E169" s="123" t="s">
        <v>216</v>
      </c>
      <c r="F169" s="131"/>
      <c r="G169" s="128" t="s">
        <v>53</v>
      </c>
      <c r="H169" s="154" t="s">
        <v>258</v>
      </c>
      <c r="I169" s="155" t="s">
        <v>213</v>
      </c>
      <c r="J169" s="212"/>
      <c r="K169" s="212"/>
      <c r="L169" s="212"/>
      <c r="M169" s="213"/>
      <c r="N169" s="213"/>
      <c r="O169" s="213"/>
      <c r="P169" s="212"/>
      <c r="Q169" s="106" t="b">
        <f t="shared" si="9"/>
        <v>0</v>
      </c>
      <c r="R169" s="199">
        <f t="shared" si="8"/>
        <v>0</v>
      </c>
    </row>
    <row r="170" spans="1:18" x14ac:dyDescent="0.3">
      <c r="A170" s="124">
        <v>6</v>
      </c>
      <c r="B170" s="37" t="s">
        <v>210</v>
      </c>
      <c r="C170" s="38">
        <v>7</v>
      </c>
      <c r="D170" s="125" t="s">
        <v>177</v>
      </c>
      <c r="E170" s="123" t="s">
        <v>221</v>
      </c>
      <c r="F170" s="126" t="s">
        <v>52</v>
      </c>
      <c r="G170" s="131"/>
      <c r="H170" s="122" t="s">
        <v>258</v>
      </c>
      <c r="I170" s="123" t="s">
        <v>213</v>
      </c>
      <c r="J170" s="212" t="s">
        <v>1383</v>
      </c>
      <c r="K170" s="212"/>
      <c r="L170" s="212"/>
      <c r="M170" s="213"/>
      <c r="N170" s="213"/>
      <c r="O170" s="213"/>
      <c r="P170" s="212"/>
      <c r="Q170" s="106" t="b">
        <f t="shared" si="9"/>
        <v>1</v>
      </c>
      <c r="R170" s="199">
        <f t="shared" si="8"/>
        <v>1</v>
      </c>
    </row>
    <row r="171" spans="1:18" x14ac:dyDescent="0.3">
      <c r="A171" s="124">
        <v>6</v>
      </c>
      <c r="B171" s="37" t="s">
        <v>210</v>
      </c>
      <c r="C171" s="38">
        <v>8</v>
      </c>
      <c r="D171" s="125" t="s">
        <v>178</v>
      </c>
      <c r="E171" s="123" t="s">
        <v>220</v>
      </c>
      <c r="F171" s="131"/>
      <c r="G171" s="128" t="s">
        <v>53</v>
      </c>
      <c r="H171" s="154" t="s">
        <v>258</v>
      </c>
      <c r="I171" s="155" t="s">
        <v>213</v>
      </c>
      <c r="J171" s="212"/>
      <c r="K171" s="212"/>
      <c r="L171" s="212"/>
      <c r="M171" s="213"/>
      <c r="N171" s="213"/>
      <c r="O171" s="213"/>
      <c r="P171" s="212"/>
      <c r="Q171" s="106" t="b">
        <f t="shared" si="9"/>
        <v>0</v>
      </c>
      <c r="R171" s="199">
        <f t="shared" si="8"/>
        <v>0</v>
      </c>
    </row>
    <row r="172" spans="1:18" x14ac:dyDescent="0.3">
      <c r="A172" s="124">
        <v>6</v>
      </c>
      <c r="B172" s="37" t="s">
        <v>210</v>
      </c>
      <c r="C172" s="38">
        <v>9</v>
      </c>
      <c r="D172" s="125" t="s">
        <v>179</v>
      </c>
      <c r="E172" s="123" t="s">
        <v>217</v>
      </c>
      <c r="F172" s="126" t="s">
        <v>52</v>
      </c>
      <c r="G172" s="131"/>
      <c r="H172" s="122" t="s">
        <v>258</v>
      </c>
      <c r="I172" s="123" t="s">
        <v>213</v>
      </c>
      <c r="J172" s="212" t="s">
        <v>1383</v>
      </c>
      <c r="K172" s="212"/>
      <c r="L172" s="212"/>
      <c r="M172" s="213"/>
      <c r="N172" s="213"/>
      <c r="O172" s="213"/>
      <c r="P172" s="212"/>
      <c r="Q172" s="106" t="b">
        <f t="shared" si="9"/>
        <v>1</v>
      </c>
      <c r="R172" s="199">
        <f t="shared" si="8"/>
        <v>1</v>
      </c>
    </row>
    <row r="173" spans="1:18" x14ac:dyDescent="0.3">
      <c r="A173" s="124">
        <v>6</v>
      </c>
      <c r="B173" s="37" t="s">
        <v>210</v>
      </c>
      <c r="C173" s="38">
        <v>10</v>
      </c>
      <c r="D173" s="125" t="s">
        <v>180</v>
      </c>
      <c r="E173" s="123" t="s">
        <v>218</v>
      </c>
      <c r="F173" s="126" t="s">
        <v>52</v>
      </c>
      <c r="G173" s="128"/>
      <c r="H173" s="122" t="s">
        <v>260</v>
      </c>
      <c r="I173" s="123" t="s">
        <v>261</v>
      </c>
      <c r="J173" s="212"/>
      <c r="K173" s="212"/>
      <c r="L173" s="212"/>
      <c r="M173" s="213"/>
      <c r="N173" s="213"/>
      <c r="O173" s="213"/>
      <c r="P173" s="212"/>
      <c r="Q173" s="106" t="b">
        <f t="shared" si="9"/>
        <v>0</v>
      </c>
      <c r="R173" s="199">
        <f t="shared" si="8"/>
        <v>0</v>
      </c>
    </row>
    <row r="174" spans="1:18" x14ac:dyDescent="0.3">
      <c r="A174" s="124">
        <v>6</v>
      </c>
      <c r="B174" s="37" t="s">
        <v>210</v>
      </c>
      <c r="C174" s="38">
        <v>11</v>
      </c>
      <c r="D174" s="125" t="s">
        <v>181</v>
      </c>
      <c r="E174" s="123" t="s">
        <v>219</v>
      </c>
      <c r="F174" s="131"/>
      <c r="G174" s="128" t="s">
        <v>53</v>
      </c>
      <c r="H174" s="154" t="s">
        <v>258</v>
      </c>
      <c r="I174" s="155" t="s">
        <v>213</v>
      </c>
      <c r="J174" s="212"/>
      <c r="K174" s="212"/>
      <c r="L174" s="212"/>
      <c r="M174" s="213"/>
      <c r="N174" s="213"/>
      <c r="O174" s="213"/>
      <c r="P174" s="212"/>
      <c r="Q174" s="106" t="b">
        <f t="shared" si="9"/>
        <v>0</v>
      </c>
      <c r="R174" s="199">
        <f t="shared" si="8"/>
        <v>0</v>
      </c>
    </row>
    <row r="175" spans="1:18" x14ac:dyDescent="0.3">
      <c r="A175" s="124">
        <v>6</v>
      </c>
      <c r="B175" s="37" t="s">
        <v>210</v>
      </c>
      <c r="C175" s="38">
        <v>12</v>
      </c>
      <c r="D175" s="125" t="s">
        <v>182</v>
      </c>
      <c r="E175" s="123" t="s">
        <v>223</v>
      </c>
      <c r="F175" s="126" t="s">
        <v>52</v>
      </c>
      <c r="G175" s="128"/>
      <c r="H175" s="122" t="s">
        <v>264</v>
      </c>
      <c r="I175" s="123" t="s">
        <v>263</v>
      </c>
      <c r="J175" s="212"/>
      <c r="K175" s="212"/>
      <c r="L175" s="212"/>
      <c r="M175" s="213"/>
      <c r="N175" s="213"/>
      <c r="O175" s="213"/>
      <c r="P175" s="212"/>
      <c r="Q175" s="106" t="b">
        <f t="shared" si="9"/>
        <v>0</v>
      </c>
      <c r="R175" s="199">
        <f t="shared" si="8"/>
        <v>0</v>
      </c>
    </row>
    <row r="176" spans="1:18" x14ac:dyDescent="0.3">
      <c r="A176" s="124">
        <v>6</v>
      </c>
      <c r="B176" s="37" t="s">
        <v>210</v>
      </c>
      <c r="C176" s="38">
        <v>13</v>
      </c>
      <c r="D176" s="125" t="s">
        <v>183</v>
      </c>
      <c r="E176" s="123" t="s">
        <v>224</v>
      </c>
      <c r="F176" s="131"/>
      <c r="G176" s="128" t="s">
        <v>53</v>
      </c>
      <c r="H176" s="154" t="s">
        <v>258</v>
      </c>
      <c r="I176" s="155" t="s">
        <v>213</v>
      </c>
      <c r="J176" s="212"/>
      <c r="K176" s="212"/>
      <c r="L176" s="212"/>
      <c r="M176" s="213"/>
      <c r="N176" s="213"/>
      <c r="O176" s="213"/>
      <c r="P176" s="212"/>
      <c r="Q176" s="106" t="b">
        <f t="shared" si="9"/>
        <v>0</v>
      </c>
      <c r="R176" s="199">
        <f t="shared" si="8"/>
        <v>0</v>
      </c>
    </row>
    <row r="177" spans="1:18" x14ac:dyDescent="0.3">
      <c r="A177" s="124">
        <v>6</v>
      </c>
      <c r="B177" s="37" t="s">
        <v>210</v>
      </c>
      <c r="C177" s="38">
        <v>14</v>
      </c>
      <c r="D177" s="125" t="s">
        <v>184</v>
      </c>
      <c r="E177" s="123" t="s">
        <v>225</v>
      </c>
      <c r="F177" s="126" t="s">
        <v>52</v>
      </c>
      <c r="G177" s="128"/>
      <c r="H177" s="122" t="s">
        <v>264</v>
      </c>
      <c r="I177" s="123" t="s">
        <v>263</v>
      </c>
      <c r="J177" s="212"/>
      <c r="K177" s="212"/>
      <c r="L177" s="212"/>
      <c r="M177" s="213"/>
      <c r="N177" s="213"/>
      <c r="O177" s="213"/>
      <c r="P177" s="212"/>
      <c r="Q177" s="106" t="b">
        <f t="shared" si="9"/>
        <v>0</v>
      </c>
      <c r="R177" s="199">
        <f t="shared" si="8"/>
        <v>0</v>
      </c>
    </row>
    <row r="178" spans="1:18" x14ac:dyDescent="0.3">
      <c r="A178" s="124">
        <v>6</v>
      </c>
      <c r="B178" s="37" t="s">
        <v>210</v>
      </c>
      <c r="C178" s="38">
        <v>15</v>
      </c>
      <c r="D178" s="125" t="s">
        <v>185</v>
      </c>
      <c r="E178" s="123" t="s">
        <v>227</v>
      </c>
      <c r="F178" s="131"/>
      <c r="G178" s="128" t="s">
        <v>53</v>
      </c>
      <c r="H178" s="154" t="s">
        <v>258</v>
      </c>
      <c r="I178" s="155" t="s">
        <v>213</v>
      </c>
      <c r="J178" s="212"/>
      <c r="K178" s="212"/>
      <c r="L178" s="212"/>
      <c r="M178" s="213"/>
      <c r="N178" s="213"/>
      <c r="O178" s="213"/>
      <c r="P178" s="212"/>
      <c r="Q178" s="106" t="b">
        <f t="shared" si="9"/>
        <v>0</v>
      </c>
      <c r="R178" s="199">
        <f t="shared" si="8"/>
        <v>0</v>
      </c>
    </row>
    <row r="179" spans="1:18" x14ac:dyDescent="0.3">
      <c r="A179" s="124">
        <v>6</v>
      </c>
      <c r="B179" s="37" t="s">
        <v>210</v>
      </c>
      <c r="C179" s="38">
        <v>16</v>
      </c>
      <c r="D179" s="125" t="s">
        <v>186</v>
      </c>
      <c r="E179" s="123" t="s">
        <v>228</v>
      </c>
      <c r="F179" s="126" t="s">
        <v>52</v>
      </c>
      <c r="G179" s="131"/>
      <c r="H179" s="122" t="s">
        <v>258</v>
      </c>
      <c r="I179" s="123" t="s">
        <v>213</v>
      </c>
      <c r="J179" s="212" t="s">
        <v>1383</v>
      </c>
      <c r="K179" s="212"/>
      <c r="L179" s="212"/>
      <c r="M179" s="213"/>
      <c r="N179" s="213"/>
      <c r="O179" s="213"/>
      <c r="P179" s="212"/>
      <c r="Q179" s="106" t="b">
        <f t="shared" si="9"/>
        <v>1</v>
      </c>
      <c r="R179" s="199">
        <f t="shared" si="8"/>
        <v>1</v>
      </c>
    </row>
    <row r="180" spans="1:18" x14ac:dyDescent="0.3">
      <c r="A180" s="124">
        <v>6</v>
      </c>
      <c r="B180" s="37" t="s">
        <v>210</v>
      </c>
      <c r="C180" s="38">
        <v>17</v>
      </c>
      <c r="D180" s="125" t="s">
        <v>187</v>
      </c>
      <c r="E180" s="123" t="s">
        <v>229</v>
      </c>
      <c r="F180" s="126" t="s">
        <v>52</v>
      </c>
      <c r="G180" s="128"/>
      <c r="H180" s="122" t="s">
        <v>260</v>
      </c>
      <c r="I180" s="123" t="s">
        <v>261</v>
      </c>
      <c r="J180" s="212"/>
      <c r="K180" s="212"/>
      <c r="L180" s="212"/>
      <c r="M180" s="213"/>
      <c r="N180" s="213"/>
      <c r="O180" s="213"/>
      <c r="P180" s="212"/>
      <c r="Q180" s="106" t="b">
        <f t="shared" si="9"/>
        <v>0</v>
      </c>
      <c r="R180" s="199">
        <f t="shared" si="8"/>
        <v>0</v>
      </c>
    </row>
    <row r="181" spans="1:18" x14ac:dyDescent="0.3">
      <c r="A181" s="124">
        <v>6</v>
      </c>
      <c r="B181" s="37" t="s">
        <v>210</v>
      </c>
      <c r="C181" s="38">
        <v>18</v>
      </c>
      <c r="D181" s="125" t="s">
        <v>188</v>
      </c>
      <c r="E181" s="123" t="s">
        <v>230</v>
      </c>
      <c r="F181" s="126" t="s">
        <v>52</v>
      </c>
      <c r="G181" s="128"/>
      <c r="H181" s="122" t="s">
        <v>264</v>
      </c>
      <c r="I181" s="123" t="s">
        <v>263</v>
      </c>
      <c r="J181" s="212" t="s">
        <v>1383</v>
      </c>
      <c r="K181" s="212"/>
      <c r="L181" s="212"/>
      <c r="M181" s="213"/>
      <c r="N181" s="213"/>
      <c r="O181" s="213"/>
      <c r="P181" s="212"/>
      <c r="Q181" s="106" t="b">
        <f t="shared" si="9"/>
        <v>1</v>
      </c>
      <c r="R181" s="199">
        <f t="shared" si="8"/>
        <v>1</v>
      </c>
    </row>
    <row r="182" spans="1:18" x14ac:dyDescent="0.3">
      <c r="A182" s="124">
        <v>6</v>
      </c>
      <c r="B182" s="37" t="s">
        <v>210</v>
      </c>
      <c r="C182" s="38">
        <v>19</v>
      </c>
      <c r="D182" s="125" t="s">
        <v>189</v>
      </c>
      <c r="E182" s="123" t="s">
        <v>231</v>
      </c>
      <c r="F182" s="131"/>
      <c r="G182" s="128" t="s">
        <v>53</v>
      </c>
      <c r="H182" s="154" t="s">
        <v>258</v>
      </c>
      <c r="I182" s="155" t="s">
        <v>213</v>
      </c>
      <c r="J182" s="212"/>
      <c r="K182" s="212"/>
      <c r="L182" s="212"/>
      <c r="M182" s="213"/>
      <c r="N182" s="213"/>
      <c r="O182" s="213"/>
      <c r="P182" s="212"/>
      <c r="Q182" s="106" t="b">
        <f t="shared" si="9"/>
        <v>0</v>
      </c>
      <c r="R182" s="199">
        <f t="shared" si="8"/>
        <v>0</v>
      </c>
    </row>
    <row r="183" spans="1:18" x14ac:dyDescent="0.3">
      <c r="A183" s="124">
        <v>6</v>
      </c>
      <c r="B183" s="37" t="s">
        <v>210</v>
      </c>
      <c r="C183" s="38">
        <v>20</v>
      </c>
      <c r="D183" s="125" t="s">
        <v>34</v>
      </c>
      <c r="E183" s="123" t="s">
        <v>232</v>
      </c>
      <c r="F183" s="126" t="s">
        <v>52</v>
      </c>
      <c r="G183" s="131"/>
      <c r="H183" s="122" t="s">
        <v>258</v>
      </c>
      <c r="I183" s="123" t="s">
        <v>213</v>
      </c>
      <c r="J183" s="212" t="s">
        <v>1383</v>
      </c>
      <c r="K183" s="212"/>
      <c r="L183" s="212"/>
      <c r="M183" s="213"/>
      <c r="N183" s="213"/>
      <c r="O183" s="213"/>
      <c r="P183" s="212"/>
      <c r="Q183" s="106" t="b">
        <f t="shared" si="9"/>
        <v>1</v>
      </c>
      <c r="R183" s="199">
        <f t="shared" si="8"/>
        <v>1</v>
      </c>
    </row>
    <row r="184" spans="1:18" x14ac:dyDescent="0.3">
      <c r="A184" s="124">
        <v>6</v>
      </c>
      <c r="B184" s="37" t="s">
        <v>210</v>
      </c>
      <c r="C184" s="38">
        <v>21</v>
      </c>
      <c r="D184" s="125" t="s">
        <v>190</v>
      </c>
      <c r="E184" s="123" t="s">
        <v>233</v>
      </c>
      <c r="F184" s="126" t="s">
        <v>52</v>
      </c>
      <c r="G184" s="128"/>
      <c r="H184" s="122" t="s">
        <v>264</v>
      </c>
      <c r="I184" s="123" t="s">
        <v>263</v>
      </c>
      <c r="J184" s="212"/>
      <c r="K184" s="212"/>
      <c r="L184" s="212"/>
      <c r="M184" s="213"/>
      <c r="N184" s="213"/>
      <c r="O184" s="213"/>
      <c r="P184" s="212"/>
      <c r="Q184" s="106" t="b">
        <f t="shared" si="9"/>
        <v>0</v>
      </c>
      <c r="R184" s="199">
        <f t="shared" si="8"/>
        <v>0</v>
      </c>
    </row>
    <row r="185" spans="1:18" x14ac:dyDescent="0.3">
      <c r="A185" s="124">
        <v>6</v>
      </c>
      <c r="B185" s="37" t="s">
        <v>210</v>
      </c>
      <c r="C185" s="38">
        <v>22</v>
      </c>
      <c r="D185" s="125" t="s">
        <v>191</v>
      </c>
      <c r="E185" s="123" t="s">
        <v>234</v>
      </c>
      <c r="F185" s="126" t="s">
        <v>52</v>
      </c>
      <c r="G185" s="131"/>
      <c r="H185" s="122" t="s">
        <v>258</v>
      </c>
      <c r="I185" s="123" t="s">
        <v>213</v>
      </c>
      <c r="J185" s="212" t="s">
        <v>1383</v>
      </c>
      <c r="K185" s="212"/>
      <c r="L185" s="212"/>
      <c r="M185" s="213"/>
      <c r="N185" s="213"/>
      <c r="O185" s="213"/>
      <c r="P185" s="212"/>
      <c r="Q185" s="106" t="b">
        <f t="shared" si="9"/>
        <v>1</v>
      </c>
      <c r="R185" s="199">
        <f t="shared" si="8"/>
        <v>1</v>
      </c>
    </row>
    <row r="186" spans="1:18" x14ac:dyDescent="0.3">
      <c r="A186" s="124">
        <v>6</v>
      </c>
      <c r="B186" s="37" t="s">
        <v>210</v>
      </c>
      <c r="C186" s="38">
        <v>23</v>
      </c>
      <c r="D186" s="125" t="s">
        <v>192</v>
      </c>
      <c r="E186" s="123" t="s">
        <v>235</v>
      </c>
      <c r="F186" s="126" t="s">
        <v>52</v>
      </c>
      <c r="G186" s="131"/>
      <c r="H186" s="122" t="s">
        <v>170</v>
      </c>
      <c r="I186" s="123" t="s">
        <v>265</v>
      </c>
      <c r="J186" s="212"/>
      <c r="K186" s="212"/>
      <c r="L186" s="212"/>
      <c r="M186" s="213"/>
      <c r="N186" s="213"/>
      <c r="O186" s="213"/>
      <c r="P186" s="212"/>
      <c r="Q186" s="106" t="b">
        <f t="shared" si="9"/>
        <v>0</v>
      </c>
      <c r="R186" s="199">
        <f t="shared" si="8"/>
        <v>0</v>
      </c>
    </row>
    <row r="187" spans="1:18" x14ac:dyDescent="0.3">
      <c r="A187" s="124">
        <v>6</v>
      </c>
      <c r="B187" s="37" t="s">
        <v>210</v>
      </c>
      <c r="C187" s="38">
        <v>24</v>
      </c>
      <c r="D187" s="125" t="s">
        <v>193</v>
      </c>
      <c r="E187" s="123" t="s">
        <v>236</v>
      </c>
      <c r="F187" s="126" t="s">
        <v>52</v>
      </c>
      <c r="G187" s="131"/>
      <c r="H187" s="122" t="s">
        <v>258</v>
      </c>
      <c r="I187" s="123" t="s">
        <v>213</v>
      </c>
      <c r="J187" s="212"/>
      <c r="K187" s="212"/>
      <c r="L187" s="212"/>
      <c r="M187" s="213"/>
      <c r="N187" s="213"/>
      <c r="O187" s="213"/>
      <c r="P187" s="212"/>
      <c r="Q187" s="106" t="b">
        <f t="shared" si="9"/>
        <v>0</v>
      </c>
      <c r="R187" s="199">
        <f t="shared" si="8"/>
        <v>0</v>
      </c>
    </row>
    <row r="188" spans="1:18" x14ac:dyDescent="0.3">
      <c r="A188" s="124">
        <v>6</v>
      </c>
      <c r="B188" s="37" t="s">
        <v>210</v>
      </c>
      <c r="C188" s="38">
        <v>25</v>
      </c>
      <c r="D188" s="125" t="s">
        <v>194</v>
      </c>
      <c r="E188" s="123" t="s">
        <v>237</v>
      </c>
      <c r="F188" s="131"/>
      <c r="G188" s="128" t="s">
        <v>53</v>
      </c>
      <c r="H188" s="154" t="s">
        <v>258</v>
      </c>
      <c r="I188" s="155" t="s">
        <v>213</v>
      </c>
      <c r="J188" s="212"/>
      <c r="K188" s="212"/>
      <c r="L188" s="212"/>
      <c r="M188" s="213"/>
      <c r="N188" s="213"/>
      <c r="O188" s="213"/>
      <c r="P188" s="212"/>
      <c r="Q188" s="106" t="b">
        <f t="shared" si="9"/>
        <v>0</v>
      </c>
      <c r="R188" s="199">
        <f t="shared" si="8"/>
        <v>0</v>
      </c>
    </row>
    <row r="189" spans="1:18" x14ac:dyDescent="0.3">
      <c r="A189" s="124">
        <v>6</v>
      </c>
      <c r="B189" s="37" t="s">
        <v>210</v>
      </c>
      <c r="C189" s="38">
        <v>26</v>
      </c>
      <c r="D189" s="125" t="s">
        <v>38</v>
      </c>
      <c r="E189" s="123" t="s">
        <v>266</v>
      </c>
      <c r="F189" s="131"/>
      <c r="G189" s="128" t="s">
        <v>53</v>
      </c>
      <c r="H189" s="154" t="s">
        <v>258</v>
      </c>
      <c r="I189" s="155" t="s">
        <v>213</v>
      </c>
      <c r="J189" s="212"/>
      <c r="K189" s="212"/>
      <c r="L189" s="212"/>
      <c r="M189" s="213"/>
      <c r="N189" s="213"/>
      <c r="O189" s="213"/>
      <c r="P189" s="212"/>
      <c r="Q189" s="106" t="b">
        <f t="shared" si="9"/>
        <v>0</v>
      </c>
      <c r="R189" s="199">
        <f t="shared" si="8"/>
        <v>0</v>
      </c>
    </row>
    <row r="190" spans="1:18" x14ac:dyDescent="0.3">
      <c r="A190" s="124">
        <v>6</v>
      </c>
      <c r="B190" s="37" t="s">
        <v>210</v>
      </c>
      <c r="C190" s="38">
        <v>27</v>
      </c>
      <c r="D190" s="125" t="s">
        <v>196</v>
      </c>
      <c r="E190" s="123" t="s">
        <v>238</v>
      </c>
      <c r="F190" s="126" t="s">
        <v>52</v>
      </c>
      <c r="G190" s="128"/>
      <c r="H190" s="122" t="s">
        <v>260</v>
      </c>
      <c r="I190" s="123" t="s">
        <v>261</v>
      </c>
      <c r="J190" s="212" t="s">
        <v>1383</v>
      </c>
      <c r="K190" s="212"/>
      <c r="L190" s="212"/>
      <c r="M190" s="213"/>
      <c r="N190" s="213"/>
      <c r="O190" s="213"/>
      <c r="P190" s="212"/>
      <c r="Q190" s="106" t="b">
        <f t="shared" si="9"/>
        <v>1</v>
      </c>
      <c r="R190" s="199">
        <f t="shared" si="8"/>
        <v>1</v>
      </c>
    </row>
    <row r="191" spans="1:18" x14ac:dyDescent="0.3">
      <c r="A191" s="124">
        <v>6</v>
      </c>
      <c r="B191" s="37" t="s">
        <v>210</v>
      </c>
      <c r="C191" s="38">
        <v>28</v>
      </c>
      <c r="D191" s="125" t="s">
        <v>195</v>
      </c>
      <c r="E191" s="123" t="s">
        <v>239</v>
      </c>
      <c r="F191" s="126" t="s">
        <v>52</v>
      </c>
      <c r="G191" s="131"/>
      <c r="H191" s="122" t="s">
        <v>258</v>
      </c>
      <c r="I191" s="123" t="s">
        <v>213</v>
      </c>
      <c r="J191" s="212" t="s">
        <v>1383</v>
      </c>
      <c r="K191" s="212"/>
      <c r="L191" s="212"/>
      <c r="M191" s="213"/>
      <c r="N191" s="213"/>
      <c r="O191" s="213"/>
      <c r="P191" s="212"/>
      <c r="Q191" s="106" t="b">
        <f t="shared" si="9"/>
        <v>1</v>
      </c>
      <c r="R191" s="199">
        <f t="shared" si="8"/>
        <v>1</v>
      </c>
    </row>
    <row r="192" spans="1:18" x14ac:dyDescent="0.3">
      <c r="A192" s="124">
        <v>6</v>
      </c>
      <c r="B192" s="37" t="s">
        <v>210</v>
      </c>
      <c r="C192" s="38">
        <v>29</v>
      </c>
      <c r="D192" s="125" t="s">
        <v>197</v>
      </c>
      <c r="E192" s="123" t="s">
        <v>240</v>
      </c>
      <c r="F192" s="126" t="s">
        <v>52</v>
      </c>
      <c r="G192" s="128"/>
      <c r="H192" s="122" t="s">
        <v>267</v>
      </c>
      <c r="I192" s="123" t="s">
        <v>268</v>
      </c>
      <c r="J192" s="212"/>
      <c r="K192" s="212"/>
      <c r="L192" s="212"/>
      <c r="M192" s="213"/>
      <c r="N192" s="213"/>
      <c r="O192" s="213"/>
      <c r="P192" s="212"/>
      <c r="Q192" s="106" t="b">
        <f t="shared" si="9"/>
        <v>0</v>
      </c>
      <c r="R192" s="199">
        <f t="shared" si="8"/>
        <v>0</v>
      </c>
    </row>
    <row r="193" spans="1:18" x14ac:dyDescent="0.3">
      <c r="A193" s="124">
        <v>6</v>
      </c>
      <c r="B193" s="37" t="s">
        <v>210</v>
      </c>
      <c r="C193" s="38">
        <v>30</v>
      </c>
      <c r="D193" s="125" t="s">
        <v>198</v>
      </c>
      <c r="E193" s="123" t="s">
        <v>241</v>
      </c>
      <c r="F193" s="126" t="s">
        <v>52</v>
      </c>
      <c r="G193" s="131"/>
      <c r="H193" s="122" t="s">
        <v>258</v>
      </c>
      <c r="I193" s="123" t="s">
        <v>213</v>
      </c>
      <c r="J193" s="212" t="s">
        <v>1383</v>
      </c>
      <c r="K193" s="212"/>
      <c r="L193" s="212"/>
      <c r="M193" s="213"/>
      <c r="N193" s="213"/>
      <c r="O193" s="213"/>
      <c r="P193" s="212"/>
      <c r="Q193" s="106" t="b">
        <f t="shared" si="9"/>
        <v>1</v>
      </c>
      <c r="R193" s="199">
        <f t="shared" si="8"/>
        <v>1</v>
      </c>
    </row>
    <row r="194" spans="1:18" x14ac:dyDescent="0.3">
      <c r="A194" s="124">
        <v>6</v>
      </c>
      <c r="B194" s="37" t="s">
        <v>210</v>
      </c>
      <c r="C194" s="38">
        <v>31</v>
      </c>
      <c r="D194" s="125" t="s">
        <v>199</v>
      </c>
      <c r="E194" s="123" t="s">
        <v>242</v>
      </c>
      <c r="F194" s="126" t="s">
        <v>52</v>
      </c>
      <c r="G194" s="131"/>
      <c r="H194" s="122" t="s">
        <v>170</v>
      </c>
      <c r="I194" s="123" t="s">
        <v>265</v>
      </c>
      <c r="J194" s="212"/>
      <c r="K194" s="212"/>
      <c r="L194" s="212"/>
      <c r="M194" s="213"/>
      <c r="N194" s="213"/>
      <c r="O194" s="213"/>
      <c r="P194" s="212"/>
      <c r="Q194" s="106" t="b">
        <f t="shared" si="9"/>
        <v>0</v>
      </c>
      <c r="R194" s="199">
        <f t="shared" si="8"/>
        <v>0</v>
      </c>
    </row>
    <row r="195" spans="1:18" x14ac:dyDescent="0.3">
      <c r="A195" s="124">
        <v>6</v>
      </c>
      <c r="B195" s="37" t="s">
        <v>210</v>
      </c>
      <c r="C195" s="38">
        <v>32</v>
      </c>
      <c r="D195" s="125" t="s">
        <v>200</v>
      </c>
      <c r="E195" s="123" t="s">
        <v>243</v>
      </c>
      <c r="F195" s="131"/>
      <c r="G195" s="128" t="s">
        <v>53</v>
      </c>
      <c r="H195" s="154" t="s">
        <v>258</v>
      </c>
      <c r="I195" s="155" t="s">
        <v>213</v>
      </c>
      <c r="J195" s="212"/>
      <c r="K195" s="212"/>
      <c r="L195" s="212"/>
      <c r="M195" s="213"/>
      <c r="N195" s="213"/>
      <c r="O195" s="213"/>
      <c r="P195" s="212"/>
      <c r="Q195" s="106" t="b">
        <f t="shared" si="9"/>
        <v>0</v>
      </c>
      <c r="R195" s="199">
        <f t="shared" si="8"/>
        <v>0</v>
      </c>
    </row>
    <row r="196" spans="1:18" x14ac:dyDescent="0.3">
      <c r="A196" s="124">
        <v>6</v>
      </c>
      <c r="B196" s="37" t="s">
        <v>210</v>
      </c>
      <c r="C196" s="38">
        <v>33</v>
      </c>
      <c r="D196" s="125" t="s">
        <v>201</v>
      </c>
      <c r="E196" s="123" t="s">
        <v>244</v>
      </c>
      <c r="F196" s="131"/>
      <c r="G196" s="128" t="s">
        <v>53</v>
      </c>
      <c r="H196" s="154" t="s">
        <v>258</v>
      </c>
      <c r="I196" s="155" t="s">
        <v>213</v>
      </c>
      <c r="J196" s="212"/>
      <c r="K196" s="212"/>
      <c r="L196" s="212"/>
      <c r="M196" s="213"/>
      <c r="N196" s="213"/>
      <c r="O196" s="213"/>
      <c r="P196" s="212"/>
      <c r="Q196" s="106" t="b">
        <f t="shared" si="9"/>
        <v>0</v>
      </c>
      <c r="R196" s="199">
        <f t="shared" ref="R196:R259" si="11">COUNTA(J196:P196)</f>
        <v>0</v>
      </c>
    </row>
    <row r="197" spans="1:18" x14ac:dyDescent="0.3">
      <c r="A197" s="124">
        <v>6</v>
      </c>
      <c r="B197" s="37" t="s">
        <v>210</v>
      </c>
      <c r="C197" s="38">
        <v>34</v>
      </c>
      <c r="D197" s="125" t="s">
        <v>47</v>
      </c>
      <c r="E197" s="123" t="s">
        <v>245</v>
      </c>
      <c r="F197" s="126" t="s">
        <v>52</v>
      </c>
      <c r="G197" s="128"/>
      <c r="H197" s="122" t="s">
        <v>260</v>
      </c>
      <c r="I197" s="123" t="s">
        <v>261</v>
      </c>
      <c r="J197" s="212"/>
      <c r="K197" s="212"/>
      <c r="L197" s="212"/>
      <c r="M197" s="213"/>
      <c r="N197" s="213"/>
      <c r="O197" s="213"/>
      <c r="P197" s="212"/>
      <c r="Q197" s="106" t="b">
        <f t="shared" si="9"/>
        <v>0</v>
      </c>
      <c r="R197" s="199">
        <f t="shared" si="11"/>
        <v>0</v>
      </c>
    </row>
    <row r="198" spans="1:18" x14ac:dyDescent="0.3">
      <c r="A198" s="124">
        <v>6</v>
      </c>
      <c r="B198" s="37" t="s">
        <v>210</v>
      </c>
      <c r="C198" s="38">
        <v>35</v>
      </c>
      <c r="D198" s="17" t="s">
        <v>211</v>
      </c>
      <c r="E198" s="123" t="s">
        <v>246</v>
      </c>
      <c r="F198" s="126" t="s">
        <v>52</v>
      </c>
      <c r="G198" s="131"/>
      <c r="H198" s="122" t="s">
        <v>258</v>
      </c>
      <c r="I198" s="123" t="s">
        <v>213</v>
      </c>
      <c r="J198" s="212"/>
      <c r="K198" s="212"/>
      <c r="L198" s="212"/>
      <c r="M198" s="213"/>
      <c r="N198" s="213"/>
      <c r="O198" s="213"/>
      <c r="P198" s="212"/>
      <c r="Q198" s="106" t="b">
        <f t="shared" ref="Q198:Q261" si="12">IF(COUNTA(J198:P198)=0,FALSE,TRUE)</f>
        <v>0</v>
      </c>
      <c r="R198" s="199">
        <f t="shared" si="11"/>
        <v>0</v>
      </c>
    </row>
    <row r="199" spans="1:18" x14ac:dyDescent="0.3">
      <c r="A199" s="124">
        <v>6</v>
      </c>
      <c r="B199" s="37" t="s">
        <v>210</v>
      </c>
      <c r="C199" s="38">
        <v>36</v>
      </c>
      <c r="D199" s="17" t="s">
        <v>212</v>
      </c>
      <c r="E199" s="123" t="s">
        <v>247</v>
      </c>
      <c r="F199" s="126" t="s">
        <v>52</v>
      </c>
      <c r="G199" s="131"/>
      <c r="H199" s="122" t="s">
        <v>258</v>
      </c>
      <c r="I199" s="123" t="s">
        <v>213</v>
      </c>
      <c r="J199" s="212"/>
      <c r="K199" s="212"/>
      <c r="L199" s="212"/>
      <c r="M199" s="213"/>
      <c r="N199" s="213"/>
      <c r="O199" s="213"/>
      <c r="P199" s="212"/>
      <c r="Q199" s="106" t="b">
        <f t="shared" si="12"/>
        <v>0</v>
      </c>
      <c r="R199" s="199">
        <f t="shared" si="11"/>
        <v>0</v>
      </c>
    </row>
    <row r="200" spans="1:18" x14ac:dyDescent="0.3">
      <c r="A200" s="124">
        <v>6</v>
      </c>
      <c r="B200" s="37" t="s">
        <v>210</v>
      </c>
      <c r="C200" s="38">
        <v>37</v>
      </c>
      <c r="D200" s="125" t="s">
        <v>202</v>
      </c>
      <c r="E200" s="123" t="s">
        <v>248</v>
      </c>
      <c r="F200" s="126" t="s">
        <v>52</v>
      </c>
      <c r="G200" s="131"/>
      <c r="H200" s="122" t="s">
        <v>258</v>
      </c>
      <c r="I200" s="123" t="s">
        <v>213</v>
      </c>
      <c r="J200" s="212" t="s">
        <v>1383</v>
      </c>
      <c r="K200" s="212"/>
      <c r="L200" s="212"/>
      <c r="M200" s="213"/>
      <c r="N200" s="213"/>
      <c r="O200" s="213"/>
      <c r="P200" s="212"/>
      <c r="Q200" s="106" t="b">
        <f t="shared" si="12"/>
        <v>1</v>
      </c>
      <c r="R200" s="199">
        <f t="shared" si="11"/>
        <v>1</v>
      </c>
    </row>
    <row r="201" spans="1:18" x14ac:dyDescent="0.3">
      <c r="A201" s="124">
        <v>6</v>
      </c>
      <c r="B201" s="37" t="s">
        <v>210</v>
      </c>
      <c r="C201" s="38">
        <v>38</v>
      </c>
      <c r="D201" s="125" t="s">
        <v>203</v>
      </c>
      <c r="E201" s="123" t="s">
        <v>249</v>
      </c>
      <c r="F201" s="126" t="s">
        <v>52</v>
      </c>
      <c r="G201" s="131"/>
      <c r="H201" s="122" t="s">
        <v>258</v>
      </c>
      <c r="I201" s="123" t="s">
        <v>213</v>
      </c>
      <c r="J201" s="212" t="s">
        <v>1383</v>
      </c>
      <c r="K201" s="212"/>
      <c r="L201" s="212"/>
      <c r="M201" s="213"/>
      <c r="N201" s="213"/>
      <c r="O201" s="213"/>
      <c r="P201" s="212"/>
      <c r="Q201" s="106" t="b">
        <f t="shared" si="12"/>
        <v>1</v>
      </c>
      <c r="R201" s="199">
        <f t="shared" si="11"/>
        <v>1</v>
      </c>
    </row>
    <row r="202" spans="1:18" x14ac:dyDescent="0.3">
      <c r="A202" s="124">
        <v>6</v>
      </c>
      <c r="B202" s="37" t="s">
        <v>210</v>
      </c>
      <c r="C202" s="38">
        <v>39</v>
      </c>
      <c r="D202" s="125" t="s">
        <v>204</v>
      </c>
      <c r="E202" s="123" t="s">
        <v>250</v>
      </c>
      <c r="F202" s="126" t="s">
        <v>52</v>
      </c>
      <c r="G202" s="131"/>
      <c r="H202" s="122" t="s">
        <v>170</v>
      </c>
      <c r="I202" s="123" t="s">
        <v>265</v>
      </c>
      <c r="J202" s="212"/>
      <c r="K202" s="212"/>
      <c r="L202" s="212"/>
      <c r="M202" s="213"/>
      <c r="N202" s="213"/>
      <c r="O202" s="213"/>
      <c r="P202" s="212"/>
      <c r="Q202" s="106" t="b">
        <f t="shared" si="12"/>
        <v>0</v>
      </c>
      <c r="R202" s="199">
        <f t="shared" si="11"/>
        <v>0</v>
      </c>
    </row>
    <row r="203" spans="1:18" x14ac:dyDescent="0.3">
      <c r="A203" s="124">
        <v>6</v>
      </c>
      <c r="B203" s="37" t="s">
        <v>210</v>
      </c>
      <c r="C203" s="38">
        <v>40</v>
      </c>
      <c r="D203" s="125" t="s">
        <v>205</v>
      </c>
      <c r="E203" s="123" t="s">
        <v>251</v>
      </c>
      <c r="F203" s="126" t="s">
        <v>52</v>
      </c>
      <c r="G203" s="131"/>
      <c r="H203" s="122" t="s">
        <v>258</v>
      </c>
      <c r="I203" s="123" t="s">
        <v>213</v>
      </c>
      <c r="J203" s="212"/>
      <c r="K203" s="212"/>
      <c r="L203" s="212"/>
      <c r="M203" s="213"/>
      <c r="N203" s="213"/>
      <c r="O203" s="213"/>
      <c r="P203" s="212"/>
      <c r="Q203" s="106" t="b">
        <f t="shared" si="12"/>
        <v>0</v>
      </c>
      <c r="R203" s="199">
        <f t="shared" si="11"/>
        <v>0</v>
      </c>
    </row>
    <row r="204" spans="1:18" x14ac:dyDescent="0.3">
      <c r="A204" s="124">
        <v>6</v>
      </c>
      <c r="B204" s="37" t="s">
        <v>210</v>
      </c>
      <c r="C204" s="38">
        <v>41</v>
      </c>
      <c r="D204" s="125" t="s">
        <v>206</v>
      </c>
      <c r="E204" s="123" t="s">
        <v>252</v>
      </c>
      <c r="F204" s="126" t="s">
        <v>52</v>
      </c>
      <c r="G204" s="131"/>
      <c r="H204" s="122" t="s">
        <v>258</v>
      </c>
      <c r="I204" s="123" t="s">
        <v>213</v>
      </c>
      <c r="J204" s="212" t="s">
        <v>1383</v>
      </c>
      <c r="K204" s="212"/>
      <c r="L204" s="212"/>
      <c r="M204" s="213"/>
      <c r="N204" s="213"/>
      <c r="O204" s="213"/>
      <c r="P204" s="212"/>
      <c r="Q204" s="106" t="b">
        <f t="shared" si="12"/>
        <v>1</v>
      </c>
      <c r="R204" s="199">
        <f t="shared" si="11"/>
        <v>1</v>
      </c>
    </row>
    <row r="205" spans="1:18" x14ac:dyDescent="0.3">
      <c r="A205" s="124">
        <v>6</v>
      </c>
      <c r="B205" s="37" t="s">
        <v>210</v>
      </c>
      <c r="C205" s="38">
        <v>42</v>
      </c>
      <c r="D205" s="125" t="s">
        <v>207</v>
      </c>
      <c r="E205" s="123" t="s">
        <v>253</v>
      </c>
      <c r="F205" s="131"/>
      <c r="G205" s="128" t="s">
        <v>53</v>
      </c>
      <c r="H205" s="154" t="s">
        <v>258</v>
      </c>
      <c r="I205" s="155" t="s">
        <v>213</v>
      </c>
      <c r="J205" s="212"/>
      <c r="K205" s="212"/>
      <c r="L205" s="212"/>
      <c r="M205" s="213"/>
      <c r="N205" s="213"/>
      <c r="O205" s="213"/>
      <c r="P205" s="212"/>
      <c r="Q205" s="106" t="b">
        <f t="shared" si="12"/>
        <v>0</v>
      </c>
      <c r="R205" s="199">
        <f t="shared" si="11"/>
        <v>0</v>
      </c>
    </row>
    <row r="206" spans="1:18" x14ac:dyDescent="0.3">
      <c r="A206" s="124">
        <v>6</v>
      </c>
      <c r="B206" s="37" t="s">
        <v>210</v>
      </c>
      <c r="C206" s="38">
        <v>43</v>
      </c>
      <c r="D206" s="125" t="s">
        <v>208</v>
      </c>
      <c r="E206" s="123" t="s">
        <v>254</v>
      </c>
      <c r="F206" s="126" t="s">
        <v>52</v>
      </c>
      <c r="G206" s="131"/>
      <c r="H206" s="122" t="s">
        <v>170</v>
      </c>
      <c r="I206" s="123" t="s">
        <v>265</v>
      </c>
      <c r="J206" s="212"/>
      <c r="K206" s="212"/>
      <c r="L206" s="212"/>
      <c r="M206" s="213"/>
      <c r="N206" s="213"/>
      <c r="O206" s="213"/>
      <c r="P206" s="212"/>
      <c r="Q206" s="106" t="b">
        <f t="shared" si="12"/>
        <v>0</v>
      </c>
      <c r="R206" s="199">
        <f t="shared" si="11"/>
        <v>0</v>
      </c>
    </row>
    <row r="207" spans="1:18" ht="19.5" thickBot="1" x14ac:dyDescent="0.35">
      <c r="A207" s="161">
        <v>6</v>
      </c>
      <c r="B207" s="47" t="s">
        <v>210</v>
      </c>
      <c r="C207" s="48">
        <v>44</v>
      </c>
      <c r="D207" s="166" t="s">
        <v>209</v>
      </c>
      <c r="E207" s="148" t="s">
        <v>255</v>
      </c>
      <c r="F207" s="162" t="s">
        <v>52</v>
      </c>
      <c r="G207" s="167"/>
      <c r="H207" s="147" t="s">
        <v>170</v>
      </c>
      <c r="I207" s="148" t="s">
        <v>265</v>
      </c>
      <c r="J207" s="215" t="s">
        <v>1383</v>
      </c>
      <c r="K207" s="215"/>
      <c r="L207" s="215"/>
      <c r="M207" s="216"/>
      <c r="N207" s="216"/>
      <c r="O207" s="216"/>
      <c r="P207" s="215"/>
      <c r="Q207" s="106" t="b">
        <f t="shared" si="12"/>
        <v>1</v>
      </c>
      <c r="R207" s="205">
        <f t="shared" si="11"/>
        <v>1</v>
      </c>
    </row>
    <row r="208" spans="1:18" ht="19.5" hidden="1" thickBot="1" x14ac:dyDescent="0.3">
      <c r="A208" s="137">
        <f>A207</f>
        <v>6</v>
      </c>
      <c r="B208" s="138" t="str">
        <f>B207</f>
        <v>DUMINGAG</v>
      </c>
      <c r="C208" s="15">
        <f>COUNTA(C164:C207)</f>
        <v>44</v>
      </c>
      <c r="D208" s="139" t="s">
        <v>1</v>
      </c>
      <c r="E208" s="139" t="s">
        <v>1374</v>
      </c>
      <c r="F208" s="15">
        <f>COUNTA(F164:F207)</f>
        <v>32</v>
      </c>
      <c r="G208" s="15">
        <f>COUNTA(G164:G207)</f>
        <v>12</v>
      </c>
      <c r="H208" s="291" t="s">
        <v>3</v>
      </c>
      <c r="I208" s="292"/>
      <c r="J208" s="15">
        <f>COUNTA(J164:J207)</f>
        <v>15</v>
      </c>
      <c r="K208" s="15">
        <f t="shared" ref="K208:P208" si="13">COUNTA(K164:K207)</f>
        <v>0</v>
      </c>
      <c r="L208" s="15">
        <f t="shared" si="13"/>
        <v>0</v>
      </c>
      <c r="M208" s="15">
        <f t="shared" si="13"/>
        <v>0</v>
      </c>
      <c r="N208" s="15">
        <f t="shared" si="13"/>
        <v>0</v>
      </c>
      <c r="O208" s="15">
        <f t="shared" si="13"/>
        <v>0</v>
      </c>
      <c r="P208" s="15">
        <f t="shared" si="13"/>
        <v>0</v>
      </c>
      <c r="Q208" s="22">
        <f>COUNTIF(Q164:Q207,TRUE)</f>
        <v>15</v>
      </c>
      <c r="R208" s="249">
        <f>SUM(J208:P208)</f>
        <v>15</v>
      </c>
    </row>
    <row r="209" spans="1:18" x14ac:dyDescent="0.3">
      <c r="A209" s="119">
        <v>7</v>
      </c>
      <c r="B209" s="41" t="s">
        <v>433</v>
      </c>
      <c r="C209" s="44">
        <v>1</v>
      </c>
      <c r="D209" s="150" t="s">
        <v>418</v>
      </c>
      <c r="E209" s="153" t="s">
        <v>434</v>
      </c>
      <c r="F209" s="168"/>
      <c r="G209" s="169" t="s">
        <v>53</v>
      </c>
      <c r="H209" s="170" t="s">
        <v>453</v>
      </c>
      <c r="I209" s="171" t="s">
        <v>452</v>
      </c>
      <c r="J209" s="218"/>
      <c r="K209" s="218"/>
      <c r="L209" s="218"/>
      <c r="M209" s="219"/>
      <c r="N209" s="219"/>
      <c r="O209" s="219"/>
      <c r="P209" s="218"/>
      <c r="Q209" s="243" t="b">
        <f t="shared" si="12"/>
        <v>0</v>
      </c>
      <c r="R209" s="208">
        <f t="shared" si="11"/>
        <v>0</v>
      </c>
    </row>
    <row r="210" spans="1:18" x14ac:dyDescent="0.3">
      <c r="A210" s="124">
        <v>7</v>
      </c>
      <c r="B210" s="37" t="s">
        <v>433</v>
      </c>
      <c r="C210" s="38">
        <v>2</v>
      </c>
      <c r="D210" s="125" t="s">
        <v>419</v>
      </c>
      <c r="E210" s="123" t="s">
        <v>435</v>
      </c>
      <c r="F210" s="126" t="s">
        <v>52</v>
      </c>
      <c r="G210" s="131"/>
      <c r="H210" s="142" t="s">
        <v>453</v>
      </c>
      <c r="I210" s="144" t="s">
        <v>452</v>
      </c>
      <c r="J210" s="212" t="s">
        <v>1383</v>
      </c>
      <c r="K210" s="212"/>
      <c r="L210" s="212"/>
      <c r="M210" s="213"/>
      <c r="N210" s="213"/>
      <c r="O210" s="213"/>
      <c r="P210" s="212"/>
      <c r="Q210" s="106" t="b">
        <f t="shared" si="12"/>
        <v>1</v>
      </c>
      <c r="R210" s="199">
        <f t="shared" si="11"/>
        <v>1</v>
      </c>
    </row>
    <row r="211" spans="1:18" x14ac:dyDescent="0.3">
      <c r="A211" s="124">
        <v>7</v>
      </c>
      <c r="B211" s="37" t="s">
        <v>433</v>
      </c>
      <c r="C211" s="38">
        <v>3</v>
      </c>
      <c r="D211" s="125" t="s">
        <v>420</v>
      </c>
      <c r="E211" s="123" t="s">
        <v>436</v>
      </c>
      <c r="F211" s="126" t="s">
        <v>52</v>
      </c>
      <c r="G211" s="131"/>
      <c r="H211" s="142" t="s">
        <v>453</v>
      </c>
      <c r="I211" s="144" t="s">
        <v>452</v>
      </c>
      <c r="J211" s="212" t="s">
        <v>1383</v>
      </c>
      <c r="K211" s="212"/>
      <c r="L211" s="212" t="s">
        <v>1383</v>
      </c>
      <c r="M211" s="213"/>
      <c r="N211" s="213"/>
      <c r="O211" s="213"/>
      <c r="P211" s="212"/>
      <c r="Q211" s="106" t="b">
        <f t="shared" si="12"/>
        <v>1</v>
      </c>
      <c r="R211" s="199">
        <f t="shared" si="11"/>
        <v>2</v>
      </c>
    </row>
    <row r="212" spans="1:18" x14ac:dyDescent="0.3">
      <c r="A212" s="124">
        <v>7</v>
      </c>
      <c r="B212" s="37" t="s">
        <v>433</v>
      </c>
      <c r="C212" s="38">
        <v>4</v>
      </c>
      <c r="D212" s="125" t="s">
        <v>421</v>
      </c>
      <c r="E212" s="123" t="s">
        <v>437</v>
      </c>
      <c r="F212" s="126" t="s">
        <v>52</v>
      </c>
      <c r="G212" s="131"/>
      <c r="H212" s="142" t="s">
        <v>453</v>
      </c>
      <c r="I212" s="144" t="s">
        <v>452</v>
      </c>
      <c r="J212" s="212" t="s">
        <v>1383</v>
      </c>
      <c r="K212" s="212"/>
      <c r="L212" s="212"/>
      <c r="M212" s="213"/>
      <c r="N212" s="212" t="s">
        <v>1383</v>
      </c>
      <c r="O212" s="212"/>
      <c r="P212" s="212"/>
      <c r="Q212" s="106" t="b">
        <f t="shared" si="12"/>
        <v>1</v>
      </c>
      <c r="R212" s="199">
        <f t="shared" si="11"/>
        <v>2</v>
      </c>
    </row>
    <row r="213" spans="1:18" x14ac:dyDescent="0.3">
      <c r="A213" s="124">
        <v>7</v>
      </c>
      <c r="B213" s="37" t="s">
        <v>433</v>
      </c>
      <c r="C213" s="38">
        <v>5</v>
      </c>
      <c r="D213" s="125" t="s">
        <v>422</v>
      </c>
      <c r="E213" s="123" t="s">
        <v>438</v>
      </c>
      <c r="F213" s="126" t="s">
        <v>52</v>
      </c>
      <c r="G213" s="131"/>
      <c r="H213" s="122" t="s">
        <v>344</v>
      </c>
      <c r="I213" s="123" t="s">
        <v>345</v>
      </c>
      <c r="J213" s="212" t="s">
        <v>1383</v>
      </c>
      <c r="K213" s="212" t="s">
        <v>1383</v>
      </c>
      <c r="L213" s="212" t="s">
        <v>1383</v>
      </c>
      <c r="M213" s="213"/>
      <c r="N213" s="213"/>
      <c r="O213" s="213"/>
      <c r="P213" s="212"/>
      <c r="Q213" s="106" t="b">
        <f t="shared" si="12"/>
        <v>1</v>
      </c>
      <c r="R213" s="199">
        <f t="shared" si="11"/>
        <v>3</v>
      </c>
    </row>
    <row r="214" spans="1:18" x14ac:dyDescent="0.3">
      <c r="A214" s="124">
        <v>7</v>
      </c>
      <c r="B214" s="37" t="s">
        <v>433</v>
      </c>
      <c r="C214" s="38">
        <v>6</v>
      </c>
      <c r="D214" s="125" t="s">
        <v>423</v>
      </c>
      <c r="E214" s="123" t="s">
        <v>439</v>
      </c>
      <c r="F214" s="126" t="s">
        <v>52</v>
      </c>
      <c r="G214" s="131"/>
      <c r="H214" s="142" t="s">
        <v>453</v>
      </c>
      <c r="I214" s="144" t="s">
        <v>452</v>
      </c>
      <c r="J214" s="212" t="s">
        <v>1383</v>
      </c>
      <c r="K214" s="212"/>
      <c r="L214" s="212"/>
      <c r="M214" s="213"/>
      <c r="N214" s="213"/>
      <c r="O214" s="213"/>
      <c r="P214" s="212" t="s">
        <v>1383</v>
      </c>
      <c r="Q214" s="106" t="b">
        <f t="shared" si="12"/>
        <v>1</v>
      </c>
      <c r="R214" s="199">
        <f t="shared" si="11"/>
        <v>2</v>
      </c>
    </row>
    <row r="215" spans="1:18" x14ac:dyDescent="0.3">
      <c r="A215" s="124">
        <v>7</v>
      </c>
      <c r="B215" s="37" t="s">
        <v>433</v>
      </c>
      <c r="C215" s="38">
        <v>7</v>
      </c>
      <c r="D215" s="125" t="s">
        <v>424</v>
      </c>
      <c r="E215" s="123" t="s">
        <v>440</v>
      </c>
      <c r="F215" s="131"/>
      <c r="G215" s="128" t="s">
        <v>53</v>
      </c>
      <c r="H215" s="172" t="s">
        <v>453</v>
      </c>
      <c r="I215" s="173" t="s">
        <v>452</v>
      </c>
      <c r="J215" s="212"/>
      <c r="K215" s="212"/>
      <c r="L215" s="212"/>
      <c r="M215" s="213"/>
      <c r="N215" s="213"/>
      <c r="O215" s="213"/>
      <c r="P215" s="212"/>
      <c r="Q215" s="106" t="b">
        <f t="shared" si="12"/>
        <v>0</v>
      </c>
      <c r="R215" s="199">
        <f t="shared" si="11"/>
        <v>0</v>
      </c>
    </row>
    <row r="216" spans="1:18" x14ac:dyDescent="0.3">
      <c r="A216" s="124">
        <v>7</v>
      </c>
      <c r="B216" s="37" t="s">
        <v>433</v>
      </c>
      <c r="C216" s="38">
        <v>8</v>
      </c>
      <c r="D216" s="125" t="s">
        <v>67</v>
      </c>
      <c r="E216" s="123" t="s">
        <v>441</v>
      </c>
      <c r="F216" s="126" t="s">
        <v>52</v>
      </c>
      <c r="G216" s="131"/>
      <c r="H216" s="122" t="s">
        <v>344</v>
      </c>
      <c r="I216" s="123" t="s">
        <v>345</v>
      </c>
      <c r="J216" s="212" t="s">
        <v>1383</v>
      </c>
      <c r="K216" s="212"/>
      <c r="L216" s="212"/>
      <c r="M216" s="213"/>
      <c r="N216" s="213"/>
      <c r="O216" s="213"/>
      <c r="P216" s="212"/>
      <c r="Q216" s="106" t="b">
        <f t="shared" si="12"/>
        <v>1</v>
      </c>
      <c r="R216" s="199">
        <f t="shared" si="11"/>
        <v>1</v>
      </c>
    </row>
    <row r="217" spans="1:18" x14ac:dyDescent="0.3">
      <c r="A217" s="124">
        <v>7</v>
      </c>
      <c r="B217" s="37" t="s">
        <v>433</v>
      </c>
      <c r="C217" s="38">
        <v>9</v>
      </c>
      <c r="D217" s="125" t="s">
        <v>425</v>
      </c>
      <c r="E217" s="123" t="s">
        <v>442</v>
      </c>
      <c r="F217" s="126" t="s">
        <v>52</v>
      </c>
      <c r="G217" s="131"/>
      <c r="H217" s="122" t="s">
        <v>413</v>
      </c>
      <c r="I217" s="123" t="s">
        <v>412</v>
      </c>
      <c r="J217" s="212" t="s">
        <v>1383</v>
      </c>
      <c r="K217" s="212"/>
      <c r="L217" s="212" t="s">
        <v>1383</v>
      </c>
      <c r="M217" s="213"/>
      <c r="N217" s="213"/>
      <c r="O217" s="213"/>
      <c r="P217" s="212"/>
      <c r="Q217" s="106" t="b">
        <f t="shared" si="12"/>
        <v>1</v>
      </c>
      <c r="R217" s="199">
        <f t="shared" si="11"/>
        <v>2</v>
      </c>
    </row>
    <row r="218" spans="1:18" x14ac:dyDescent="0.3">
      <c r="A218" s="124">
        <v>7</v>
      </c>
      <c r="B218" s="37" t="s">
        <v>433</v>
      </c>
      <c r="C218" s="38">
        <v>10</v>
      </c>
      <c r="D218" s="125" t="s">
        <v>426</v>
      </c>
      <c r="E218" s="123" t="s">
        <v>443</v>
      </c>
      <c r="F218" s="131"/>
      <c r="G218" s="128" t="s">
        <v>53</v>
      </c>
      <c r="H218" s="172" t="s">
        <v>453</v>
      </c>
      <c r="I218" s="173" t="s">
        <v>452</v>
      </c>
      <c r="J218" s="212"/>
      <c r="K218" s="212"/>
      <c r="L218" s="212"/>
      <c r="M218" s="213"/>
      <c r="N218" s="213"/>
      <c r="O218" s="213"/>
      <c r="P218" s="212"/>
      <c r="Q218" s="106" t="b">
        <f t="shared" si="12"/>
        <v>0</v>
      </c>
      <c r="R218" s="199">
        <f t="shared" si="11"/>
        <v>0</v>
      </c>
    </row>
    <row r="219" spans="1:18" x14ac:dyDescent="0.3">
      <c r="A219" s="124">
        <v>7</v>
      </c>
      <c r="B219" s="37" t="s">
        <v>433</v>
      </c>
      <c r="C219" s="38">
        <v>11</v>
      </c>
      <c r="D219" s="125" t="s">
        <v>427</v>
      </c>
      <c r="E219" s="123" t="s">
        <v>444</v>
      </c>
      <c r="F219" s="131"/>
      <c r="G219" s="128" t="s">
        <v>53</v>
      </c>
      <c r="H219" s="172" t="s">
        <v>453</v>
      </c>
      <c r="I219" s="173" t="s">
        <v>452</v>
      </c>
      <c r="J219" s="212"/>
      <c r="K219" s="212"/>
      <c r="L219" s="212"/>
      <c r="M219" s="213"/>
      <c r="N219" s="213"/>
      <c r="O219" s="213"/>
      <c r="P219" s="212"/>
      <c r="Q219" s="106" t="b">
        <f t="shared" si="12"/>
        <v>0</v>
      </c>
      <c r="R219" s="199">
        <f t="shared" si="11"/>
        <v>0</v>
      </c>
    </row>
    <row r="220" spans="1:18" x14ac:dyDescent="0.3">
      <c r="A220" s="124">
        <v>7</v>
      </c>
      <c r="B220" s="37" t="s">
        <v>433</v>
      </c>
      <c r="C220" s="38">
        <v>12</v>
      </c>
      <c r="D220" s="125" t="s">
        <v>428</v>
      </c>
      <c r="E220" s="123" t="s">
        <v>445</v>
      </c>
      <c r="F220" s="126" t="s">
        <v>52</v>
      </c>
      <c r="G220" s="131"/>
      <c r="H220" s="122" t="s">
        <v>344</v>
      </c>
      <c r="I220" s="123" t="s">
        <v>345</v>
      </c>
      <c r="J220" s="212" t="s">
        <v>1383</v>
      </c>
      <c r="K220" s="212"/>
      <c r="L220" s="212"/>
      <c r="M220" s="213"/>
      <c r="N220" s="213"/>
      <c r="O220" s="213"/>
      <c r="P220" s="212"/>
      <c r="Q220" s="106" t="b">
        <f t="shared" si="12"/>
        <v>1</v>
      </c>
      <c r="R220" s="199">
        <f t="shared" si="11"/>
        <v>1</v>
      </c>
    </row>
    <row r="221" spans="1:18" x14ac:dyDescent="0.3">
      <c r="A221" s="124">
        <v>7</v>
      </c>
      <c r="B221" s="37" t="s">
        <v>433</v>
      </c>
      <c r="C221" s="38">
        <v>13</v>
      </c>
      <c r="D221" s="125" t="s">
        <v>429</v>
      </c>
      <c r="E221" s="123" t="s">
        <v>446</v>
      </c>
      <c r="F221" s="126" t="s">
        <v>52</v>
      </c>
      <c r="G221" s="131"/>
      <c r="H221" s="122" t="s">
        <v>344</v>
      </c>
      <c r="I221" s="123" t="s">
        <v>345</v>
      </c>
      <c r="J221" s="212" t="s">
        <v>1383</v>
      </c>
      <c r="K221" s="212"/>
      <c r="L221" s="212"/>
      <c r="M221" s="213"/>
      <c r="N221" s="213"/>
      <c r="O221" s="213"/>
      <c r="P221" s="212"/>
      <c r="Q221" s="106" t="b">
        <f t="shared" si="12"/>
        <v>1</v>
      </c>
      <c r="R221" s="199">
        <f t="shared" si="11"/>
        <v>1</v>
      </c>
    </row>
    <row r="222" spans="1:18" x14ac:dyDescent="0.3">
      <c r="A222" s="124">
        <v>7</v>
      </c>
      <c r="B222" s="37" t="s">
        <v>433</v>
      </c>
      <c r="C222" s="38">
        <v>14</v>
      </c>
      <c r="D222" s="125" t="s">
        <v>43</v>
      </c>
      <c r="E222" s="123" t="s">
        <v>447</v>
      </c>
      <c r="F222" s="126" t="s">
        <v>52</v>
      </c>
      <c r="G222" s="131"/>
      <c r="H222" s="122" t="s">
        <v>413</v>
      </c>
      <c r="I222" s="123" t="s">
        <v>412</v>
      </c>
      <c r="J222" s="212"/>
      <c r="K222" s="212"/>
      <c r="L222" s="212"/>
      <c r="M222" s="213"/>
      <c r="N222" s="212" t="s">
        <v>1383</v>
      </c>
      <c r="O222" s="212"/>
      <c r="P222" s="212" t="s">
        <v>1383</v>
      </c>
      <c r="Q222" s="106" t="b">
        <f t="shared" si="12"/>
        <v>1</v>
      </c>
      <c r="R222" s="199">
        <f t="shared" si="11"/>
        <v>2</v>
      </c>
    </row>
    <row r="223" spans="1:18" x14ac:dyDescent="0.3">
      <c r="A223" s="124">
        <v>7</v>
      </c>
      <c r="B223" s="37" t="s">
        <v>433</v>
      </c>
      <c r="C223" s="38">
        <v>15</v>
      </c>
      <c r="D223" s="125" t="s">
        <v>430</v>
      </c>
      <c r="E223" s="123" t="s">
        <v>448</v>
      </c>
      <c r="F223" s="126" t="s">
        <v>52</v>
      </c>
      <c r="G223" s="131"/>
      <c r="H223" s="122" t="s">
        <v>413</v>
      </c>
      <c r="I223" s="123" t="s">
        <v>412</v>
      </c>
      <c r="J223" s="212" t="s">
        <v>1383</v>
      </c>
      <c r="K223" s="212"/>
      <c r="L223" s="212"/>
      <c r="M223" s="213"/>
      <c r="N223" s="213"/>
      <c r="O223" s="213"/>
      <c r="P223" s="212"/>
      <c r="Q223" s="106" t="b">
        <f t="shared" si="12"/>
        <v>1</v>
      </c>
      <c r="R223" s="199">
        <f t="shared" si="11"/>
        <v>1</v>
      </c>
    </row>
    <row r="224" spans="1:18" x14ac:dyDescent="0.3">
      <c r="A224" s="124">
        <v>7</v>
      </c>
      <c r="B224" s="37" t="s">
        <v>433</v>
      </c>
      <c r="C224" s="38">
        <v>16</v>
      </c>
      <c r="D224" s="125" t="s">
        <v>431</v>
      </c>
      <c r="E224" s="123" t="s">
        <v>449</v>
      </c>
      <c r="F224" s="126" t="s">
        <v>52</v>
      </c>
      <c r="G224" s="131"/>
      <c r="H224" s="142" t="s">
        <v>453</v>
      </c>
      <c r="I224" s="144" t="s">
        <v>452</v>
      </c>
      <c r="J224" s="212" t="s">
        <v>1383</v>
      </c>
      <c r="K224" s="212"/>
      <c r="L224" s="212"/>
      <c r="M224" s="213"/>
      <c r="N224" s="213"/>
      <c r="O224" s="213"/>
      <c r="P224" s="212"/>
      <c r="Q224" s="106" t="b">
        <f t="shared" si="12"/>
        <v>1</v>
      </c>
      <c r="R224" s="199">
        <f t="shared" si="11"/>
        <v>1</v>
      </c>
    </row>
    <row r="225" spans="1:18" ht="19.5" thickBot="1" x14ac:dyDescent="0.35">
      <c r="A225" s="132">
        <v>7</v>
      </c>
      <c r="B225" s="39" t="s">
        <v>433</v>
      </c>
      <c r="C225" s="45">
        <v>17</v>
      </c>
      <c r="D225" s="133" t="s">
        <v>432</v>
      </c>
      <c r="E225" s="159" t="s">
        <v>450</v>
      </c>
      <c r="F225" s="157" t="s">
        <v>52</v>
      </c>
      <c r="G225" s="174"/>
      <c r="H225" s="158" t="s">
        <v>413</v>
      </c>
      <c r="I225" s="159" t="s">
        <v>412</v>
      </c>
      <c r="J225" s="221" t="s">
        <v>1383</v>
      </c>
      <c r="K225" s="221"/>
      <c r="L225" s="221"/>
      <c r="M225" s="222"/>
      <c r="N225" s="222"/>
      <c r="O225" s="222"/>
      <c r="P225" s="221"/>
      <c r="Q225" s="244" t="b">
        <f t="shared" si="12"/>
        <v>1</v>
      </c>
      <c r="R225" s="202">
        <f t="shared" si="11"/>
        <v>1</v>
      </c>
    </row>
    <row r="226" spans="1:18" ht="19.5" hidden="1" thickBot="1" x14ac:dyDescent="0.3">
      <c r="A226" s="137">
        <f>A225</f>
        <v>7</v>
      </c>
      <c r="B226" s="138" t="str">
        <f>B225</f>
        <v>GUIPOS</v>
      </c>
      <c r="C226" s="15">
        <f>COUNTA(C209:C225)</f>
        <v>17</v>
      </c>
      <c r="D226" s="139" t="s">
        <v>1</v>
      </c>
      <c r="E226" s="139" t="s">
        <v>1374</v>
      </c>
      <c r="F226" s="15">
        <f>COUNTA(F209:F225)</f>
        <v>13</v>
      </c>
      <c r="G226" s="15">
        <f>COUNTA(G209:G225)</f>
        <v>4</v>
      </c>
      <c r="H226" s="291" t="s">
        <v>3</v>
      </c>
      <c r="I226" s="292"/>
      <c r="J226" s="15">
        <f>COUNTA(J209:J225)</f>
        <v>12</v>
      </c>
      <c r="K226" s="15">
        <f t="shared" ref="K226:P226" si="14">COUNTA(K209:K225)</f>
        <v>1</v>
      </c>
      <c r="L226" s="15">
        <f t="shared" si="14"/>
        <v>3</v>
      </c>
      <c r="M226" s="15">
        <f>COUNTA(M209:M225)</f>
        <v>0</v>
      </c>
      <c r="N226" s="15">
        <f t="shared" si="14"/>
        <v>2</v>
      </c>
      <c r="O226" s="15">
        <f t="shared" si="14"/>
        <v>0</v>
      </c>
      <c r="P226" s="15">
        <f t="shared" si="14"/>
        <v>2</v>
      </c>
      <c r="Q226" s="22">
        <f>COUNTIF(Q209:Q225,TRUE)</f>
        <v>13</v>
      </c>
      <c r="R226" s="249">
        <f>SUM(J226:P226)</f>
        <v>20</v>
      </c>
    </row>
    <row r="227" spans="1:18" x14ac:dyDescent="0.3">
      <c r="A227" s="140">
        <v>8</v>
      </c>
      <c r="B227" s="36" t="s">
        <v>468</v>
      </c>
      <c r="C227" s="46">
        <v>1</v>
      </c>
      <c r="D227" s="166" t="s">
        <v>454</v>
      </c>
      <c r="E227" s="144" t="s">
        <v>469</v>
      </c>
      <c r="F227" s="121" t="s">
        <v>52</v>
      </c>
      <c r="G227" s="165"/>
      <c r="H227" s="142" t="s">
        <v>170</v>
      </c>
      <c r="I227" s="144" t="s">
        <v>265</v>
      </c>
      <c r="J227" s="209"/>
      <c r="K227" s="209"/>
      <c r="L227" s="209"/>
      <c r="M227" s="210"/>
      <c r="N227" s="210"/>
      <c r="O227" s="210"/>
      <c r="P227" s="209"/>
      <c r="Q227" s="106" t="b">
        <f t="shared" si="12"/>
        <v>0</v>
      </c>
      <c r="R227" s="196">
        <f t="shared" si="11"/>
        <v>0</v>
      </c>
    </row>
    <row r="228" spans="1:18" x14ac:dyDescent="0.3">
      <c r="A228" s="124">
        <v>8</v>
      </c>
      <c r="B228" s="37" t="s">
        <v>468</v>
      </c>
      <c r="C228" s="38">
        <v>2</v>
      </c>
      <c r="D228" s="125" t="s">
        <v>455</v>
      </c>
      <c r="E228" s="123" t="s">
        <v>470</v>
      </c>
      <c r="F228" s="126" t="s">
        <v>52</v>
      </c>
      <c r="G228" s="131"/>
      <c r="H228" s="122" t="s">
        <v>264</v>
      </c>
      <c r="I228" s="123" t="s">
        <v>263</v>
      </c>
      <c r="J228" s="212"/>
      <c r="K228" s="212"/>
      <c r="L228" s="212"/>
      <c r="M228" s="213"/>
      <c r="N228" s="213"/>
      <c r="O228" s="213"/>
      <c r="P228" s="212"/>
      <c r="Q228" s="106" t="b">
        <f t="shared" si="12"/>
        <v>0</v>
      </c>
      <c r="R228" s="199">
        <f t="shared" si="11"/>
        <v>0</v>
      </c>
    </row>
    <row r="229" spans="1:18" x14ac:dyDescent="0.3">
      <c r="A229" s="124">
        <v>8</v>
      </c>
      <c r="B229" s="37" t="s">
        <v>468</v>
      </c>
      <c r="C229" s="38">
        <v>3</v>
      </c>
      <c r="D229" s="125" t="s">
        <v>456</v>
      </c>
      <c r="E229" s="123" t="s">
        <v>471</v>
      </c>
      <c r="F229" s="131"/>
      <c r="G229" s="128" t="s">
        <v>53</v>
      </c>
      <c r="H229" s="154" t="s">
        <v>483</v>
      </c>
      <c r="I229" s="155" t="s">
        <v>472</v>
      </c>
      <c r="J229" s="212"/>
      <c r="K229" s="212"/>
      <c r="L229" s="212"/>
      <c r="M229" s="213"/>
      <c r="N229" s="213"/>
      <c r="O229" s="213"/>
      <c r="P229" s="212"/>
      <c r="Q229" s="106" t="b">
        <f t="shared" si="12"/>
        <v>0</v>
      </c>
      <c r="R229" s="199">
        <f t="shared" si="11"/>
        <v>0</v>
      </c>
    </row>
    <row r="230" spans="1:18" x14ac:dyDescent="0.3">
      <c r="A230" s="124">
        <v>8</v>
      </c>
      <c r="B230" s="37" t="s">
        <v>468</v>
      </c>
      <c r="C230" s="38">
        <v>4</v>
      </c>
      <c r="D230" s="125" t="s">
        <v>457</v>
      </c>
      <c r="E230" s="123" t="s">
        <v>472</v>
      </c>
      <c r="F230" s="126" t="s">
        <v>52</v>
      </c>
      <c r="G230" s="131"/>
      <c r="H230" s="122" t="s">
        <v>264</v>
      </c>
      <c r="I230" s="123" t="s">
        <v>263</v>
      </c>
      <c r="J230" s="212" t="s">
        <v>1383</v>
      </c>
      <c r="K230" s="212"/>
      <c r="L230" s="212"/>
      <c r="M230" s="213"/>
      <c r="N230" s="213" t="s">
        <v>1383</v>
      </c>
      <c r="O230" s="213" t="s">
        <v>1383</v>
      </c>
      <c r="P230" s="212"/>
      <c r="Q230" s="106" t="b">
        <f t="shared" si="12"/>
        <v>1</v>
      </c>
      <c r="R230" s="199">
        <f t="shared" si="11"/>
        <v>3</v>
      </c>
    </row>
    <row r="231" spans="1:18" x14ac:dyDescent="0.3">
      <c r="A231" s="124">
        <v>8</v>
      </c>
      <c r="B231" s="37" t="s">
        <v>468</v>
      </c>
      <c r="C231" s="38">
        <v>5</v>
      </c>
      <c r="D231" s="125" t="s">
        <v>458</v>
      </c>
      <c r="E231" s="123" t="s">
        <v>473</v>
      </c>
      <c r="F231" s="126" t="s">
        <v>52</v>
      </c>
      <c r="G231" s="131"/>
      <c r="H231" s="122" t="s">
        <v>483</v>
      </c>
      <c r="I231" s="123" t="s">
        <v>472</v>
      </c>
      <c r="J231" s="212" t="s">
        <v>1383</v>
      </c>
      <c r="K231" s="212"/>
      <c r="L231" s="212"/>
      <c r="M231" s="213"/>
      <c r="N231" s="213"/>
      <c r="O231" s="213"/>
      <c r="P231" s="212"/>
      <c r="Q231" s="106" t="b">
        <f t="shared" si="12"/>
        <v>1</v>
      </c>
      <c r="R231" s="199">
        <f t="shared" si="11"/>
        <v>1</v>
      </c>
    </row>
    <row r="232" spans="1:18" x14ac:dyDescent="0.3">
      <c r="A232" s="124">
        <v>8</v>
      </c>
      <c r="B232" s="37" t="s">
        <v>468</v>
      </c>
      <c r="C232" s="38">
        <v>6</v>
      </c>
      <c r="D232" s="125" t="s">
        <v>459</v>
      </c>
      <c r="E232" s="123" t="s">
        <v>474</v>
      </c>
      <c r="F232" s="126" t="s">
        <v>52</v>
      </c>
      <c r="G232" s="131"/>
      <c r="H232" s="122" t="s">
        <v>264</v>
      </c>
      <c r="I232" s="123" t="s">
        <v>263</v>
      </c>
      <c r="J232" s="212"/>
      <c r="K232" s="212"/>
      <c r="L232" s="212"/>
      <c r="M232" s="213"/>
      <c r="N232" s="213"/>
      <c r="O232" s="213"/>
      <c r="P232" s="212"/>
      <c r="Q232" s="106" t="b">
        <f t="shared" si="12"/>
        <v>0</v>
      </c>
      <c r="R232" s="199">
        <f t="shared" si="11"/>
        <v>0</v>
      </c>
    </row>
    <row r="233" spans="1:18" x14ac:dyDescent="0.3">
      <c r="A233" s="124">
        <v>8</v>
      </c>
      <c r="B233" s="37" t="s">
        <v>468</v>
      </c>
      <c r="C233" s="38">
        <v>7</v>
      </c>
      <c r="D233" s="125" t="s">
        <v>460</v>
      </c>
      <c r="E233" s="123" t="s">
        <v>475</v>
      </c>
      <c r="F233" s="126" t="s">
        <v>52</v>
      </c>
      <c r="G233" s="131"/>
      <c r="H233" s="122" t="s">
        <v>170</v>
      </c>
      <c r="I233" s="123" t="s">
        <v>265</v>
      </c>
      <c r="J233" s="212"/>
      <c r="K233" s="212"/>
      <c r="L233" s="212"/>
      <c r="M233" s="213"/>
      <c r="N233" s="213"/>
      <c r="O233" s="213"/>
      <c r="P233" s="212"/>
      <c r="Q233" s="106" t="b">
        <f t="shared" si="12"/>
        <v>0</v>
      </c>
      <c r="R233" s="199">
        <f t="shared" si="11"/>
        <v>0</v>
      </c>
    </row>
    <row r="234" spans="1:18" x14ac:dyDescent="0.3">
      <c r="A234" s="124">
        <v>8</v>
      </c>
      <c r="B234" s="37" t="s">
        <v>468</v>
      </c>
      <c r="C234" s="38">
        <v>8</v>
      </c>
      <c r="D234" s="125" t="s">
        <v>461</v>
      </c>
      <c r="E234" s="123" t="s">
        <v>476</v>
      </c>
      <c r="F234" s="126" t="s">
        <v>52</v>
      </c>
      <c r="G234" s="126"/>
      <c r="H234" s="122" t="s">
        <v>483</v>
      </c>
      <c r="I234" s="123" t="s">
        <v>472</v>
      </c>
      <c r="J234" s="212"/>
      <c r="K234" s="212"/>
      <c r="L234" s="212"/>
      <c r="M234" s="213"/>
      <c r="N234" s="213"/>
      <c r="O234" s="213"/>
      <c r="P234" s="212"/>
      <c r="Q234" s="106" t="b">
        <f t="shared" si="12"/>
        <v>0</v>
      </c>
      <c r="R234" s="199">
        <f t="shared" si="11"/>
        <v>0</v>
      </c>
    </row>
    <row r="235" spans="1:18" x14ac:dyDescent="0.3">
      <c r="A235" s="124">
        <v>8</v>
      </c>
      <c r="B235" s="37" t="s">
        <v>468</v>
      </c>
      <c r="C235" s="38">
        <v>9</v>
      </c>
      <c r="D235" s="125" t="s">
        <v>462</v>
      </c>
      <c r="E235" s="123" t="s">
        <v>477</v>
      </c>
      <c r="F235" s="131"/>
      <c r="G235" s="128" t="s">
        <v>53</v>
      </c>
      <c r="H235" s="154" t="s">
        <v>483</v>
      </c>
      <c r="I235" s="155" t="s">
        <v>472</v>
      </c>
      <c r="J235" s="212"/>
      <c r="K235" s="212"/>
      <c r="L235" s="212"/>
      <c r="M235" s="213"/>
      <c r="N235" s="213"/>
      <c r="O235" s="213"/>
      <c r="P235" s="212"/>
      <c r="Q235" s="106" t="b">
        <f t="shared" si="12"/>
        <v>0</v>
      </c>
      <c r="R235" s="199">
        <f t="shared" si="11"/>
        <v>0</v>
      </c>
    </row>
    <row r="236" spans="1:18" x14ac:dyDescent="0.3">
      <c r="A236" s="124">
        <v>8</v>
      </c>
      <c r="B236" s="37" t="s">
        <v>468</v>
      </c>
      <c r="C236" s="38">
        <v>10</v>
      </c>
      <c r="D236" s="125" t="s">
        <v>463</v>
      </c>
      <c r="E236" s="123" t="s">
        <v>478</v>
      </c>
      <c r="F236" s="126" t="s">
        <v>52</v>
      </c>
      <c r="G236" s="131"/>
      <c r="H236" s="122" t="s">
        <v>483</v>
      </c>
      <c r="I236" s="123" t="s">
        <v>472</v>
      </c>
      <c r="J236" s="212"/>
      <c r="K236" s="212"/>
      <c r="L236" s="212"/>
      <c r="M236" s="213"/>
      <c r="N236" s="213"/>
      <c r="O236" s="213"/>
      <c r="P236" s="212"/>
      <c r="Q236" s="106" t="b">
        <f t="shared" si="12"/>
        <v>0</v>
      </c>
      <c r="R236" s="199">
        <f t="shared" si="11"/>
        <v>0</v>
      </c>
    </row>
    <row r="237" spans="1:18" x14ac:dyDescent="0.3">
      <c r="A237" s="124">
        <v>8</v>
      </c>
      <c r="B237" s="37" t="s">
        <v>468</v>
      </c>
      <c r="C237" s="38">
        <v>11</v>
      </c>
      <c r="D237" s="125" t="s">
        <v>464</v>
      </c>
      <c r="E237" s="123" t="s">
        <v>479</v>
      </c>
      <c r="F237" s="126" t="s">
        <v>52</v>
      </c>
      <c r="G237" s="131"/>
      <c r="H237" s="122" t="s">
        <v>170</v>
      </c>
      <c r="I237" s="123" t="s">
        <v>265</v>
      </c>
      <c r="J237" s="212"/>
      <c r="K237" s="212"/>
      <c r="L237" s="212"/>
      <c r="M237" s="213"/>
      <c r="N237" s="213"/>
      <c r="O237" s="213"/>
      <c r="P237" s="212"/>
      <c r="Q237" s="106" t="b">
        <f t="shared" si="12"/>
        <v>0</v>
      </c>
      <c r="R237" s="199">
        <f t="shared" si="11"/>
        <v>0</v>
      </c>
    </row>
    <row r="238" spans="1:18" x14ac:dyDescent="0.3">
      <c r="A238" s="124">
        <v>8</v>
      </c>
      <c r="B238" s="37" t="s">
        <v>468</v>
      </c>
      <c r="C238" s="38">
        <v>12</v>
      </c>
      <c r="D238" s="125" t="s">
        <v>465</v>
      </c>
      <c r="E238" s="123" t="s">
        <v>480</v>
      </c>
      <c r="F238" s="126" t="s">
        <v>52</v>
      </c>
      <c r="G238" s="131"/>
      <c r="H238" s="122" t="s">
        <v>170</v>
      </c>
      <c r="I238" s="123" t="s">
        <v>265</v>
      </c>
      <c r="J238" s="212"/>
      <c r="K238" s="212"/>
      <c r="L238" s="212"/>
      <c r="M238" s="213"/>
      <c r="N238" s="213"/>
      <c r="O238" s="213"/>
      <c r="P238" s="212"/>
      <c r="Q238" s="106" t="b">
        <f t="shared" si="12"/>
        <v>0</v>
      </c>
      <c r="R238" s="199">
        <f t="shared" si="11"/>
        <v>0</v>
      </c>
    </row>
    <row r="239" spans="1:18" x14ac:dyDescent="0.3">
      <c r="A239" s="124">
        <v>8</v>
      </c>
      <c r="B239" s="37" t="s">
        <v>468</v>
      </c>
      <c r="C239" s="38">
        <v>13</v>
      </c>
      <c r="D239" s="125" t="s">
        <v>466</v>
      </c>
      <c r="E239" s="123" t="s">
        <v>481</v>
      </c>
      <c r="F239" s="131"/>
      <c r="G239" s="128" t="s">
        <v>53</v>
      </c>
      <c r="H239" s="154" t="s">
        <v>483</v>
      </c>
      <c r="I239" s="155" t="s">
        <v>472</v>
      </c>
      <c r="J239" s="212"/>
      <c r="K239" s="212"/>
      <c r="L239" s="212"/>
      <c r="M239" s="213"/>
      <c r="N239" s="213"/>
      <c r="O239" s="213"/>
      <c r="P239" s="212"/>
      <c r="Q239" s="106" t="b">
        <f t="shared" si="12"/>
        <v>0</v>
      </c>
      <c r="R239" s="199">
        <f t="shared" si="11"/>
        <v>0</v>
      </c>
    </row>
    <row r="240" spans="1:18" ht="19.5" thickBot="1" x14ac:dyDescent="0.35">
      <c r="A240" s="161">
        <v>8</v>
      </c>
      <c r="B240" s="47" t="s">
        <v>468</v>
      </c>
      <c r="C240" s="48">
        <v>14</v>
      </c>
      <c r="D240" s="17" t="s">
        <v>467</v>
      </c>
      <c r="E240" s="148" t="s">
        <v>482</v>
      </c>
      <c r="F240" s="162" t="s">
        <v>52</v>
      </c>
      <c r="G240" s="167"/>
      <c r="H240" s="147" t="s">
        <v>483</v>
      </c>
      <c r="I240" s="148" t="s">
        <v>472</v>
      </c>
      <c r="J240" s="215" t="s">
        <v>1383</v>
      </c>
      <c r="K240" s="215"/>
      <c r="L240" s="215"/>
      <c r="M240" s="216"/>
      <c r="N240" s="216"/>
      <c r="O240" s="216"/>
      <c r="P240" s="215"/>
      <c r="Q240" s="106" t="b">
        <f t="shared" si="12"/>
        <v>1</v>
      </c>
      <c r="R240" s="205">
        <f t="shared" si="11"/>
        <v>1</v>
      </c>
    </row>
    <row r="241" spans="1:18" ht="19.5" hidden="1" thickBot="1" x14ac:dyDescent="0.3">
      <c r="A241" s="137">
        <f>A240</f>
        <v>8</v>
      </c>
      <c r="B241" s="138" t="str">
        <f>B240</f>
        <v>JOSEFINA</v>
      </c>
      <c r="C241" s="15">
        <f>COUNTA(C227:C240)</f>
        <v>14</v>
      </c>
      <c r="D241" s="139" t="s">
        <v>1</v>
      </c>
      <c r="E241" s="139" t="s">
        <v>1374</v>
      </c>
      <c r="F241" s="15">
        <f>COUNTA(F227:F240)</f>
        <v>11</v>
      </c>
      <c r="G241" s="15">
        <f>COUNTA(G227:G240)</f>
        <v>3</v>
      </c>
      <c r="H241" s="291" t="s">
        <v>3</v>
      </c>
      <c r="I241" s="292"/>
      <c r="J241" s="15">
        <f t="shared" ref="J241:P241" si="15">COUNTA(J227:J240)</f>
        <v>3</v>
      </c>
      <c r="K241" s="15">
        <f t="shared" si="15"/>
        <v>0</v>
      </c>
      <c r="L241" s="15">
        <f t="shared" si="15"/>
        <v>0</v>
      </c>
      <c r="M241" s="15">
        <f t="shared" si="15"/>
        <v>0</v>
      </c>
      <c r="N241" s="15">
        <f t="shared" si="15"/>
        <v>1</v>
      </c>
      <c r="O241" s="15">
        <f t="shared" si="15"/>
        <v>1</v>
      </c>
      <c r="P241" s="15">
        <f t="shared" si="15"/>
        <v>0</v>
      </c>
      <c r="Q241" s="22">
        <f>COUNTIF(Q227:Q240,TRUE)</f>
        <v>3</v>
      </c>
      <c r="R241" s="249">
        <f>SUM(J241:P241)</f>
        <v>5</v>
      </c>
    </row>
    <row r="242" spans="1:18" x14ac:dyDescent="0.3">
      <c r="A242" s="119">
        <v>9</v>
      </c>
      <c r="B242" s="41" t="s">
        <v>499</v>
      </c>
      <c r="C242" s="44">
        <v>1</v>
      </c>
      <c r="D242" s="150" t="s">
        <v>484</v>
      </c>
      <c r="E242" s="153" t="s">
        <v>500</v>
      </c>
      <c r="F242" s="168"/>
      <c r="G242" s="169" t="s">
        <v>53</v>
      </c>
      <c r="H242" s="170" t="s">
        <v>520</v>
      </c>
      <c r="I242" s="171" t="s">
        <v>526</v>
      </c>
      <c r="J242" s="218"/>
      <c r="K242" s="218"/>
      <c r="L242" s="218"/>
      <c r="M242" s="219"/>
      <c r="N242" s="219"/>
      <c r="O242" s="219"/>
      <c r="P242" s="218"/>
      <c r="Q242" s="243" t="b">
        <f t="shared" si="12"/>
        <v>0</v>
      </c>
      <c r="R242" s="208">
        <f t="shared" si="11"/>
        <v>0</v>
      </c>
    </row>
    <row r="243" spans="1:18" x14ac:dyDescent="0.3">
      <c r="A243" s="124">
        <v>9</v>
      </c>
      <c r="B243" s="37" t="s">
        <v>499</v>
      </c>
      <c r="C243" s="38">
        <v>2</v>
      </c>
      <c r="D243" s="125" t="s">
        <v>485</v>
      </c>
      <c r="E243" s="123" t="s">
        <v>501</v>
      </c>
      <c r="F243" s="131"/>
      <c r="G243" s="128" t="s">
        <v>53</v>
      </c>
      <c r="H243" s="154" t="s">
        <v>519</v>
      </c>
      <c r="I243" s="155" t="s">
        <v>524</v>
      </c>
      <c r="J243" s="212"/>
      <c r="K243" s="212"/>
      <c r="L243" s="212"/>
      <c r="M243" s="213"/>
      <c r="N243" s="213"/>
      <c r="O243" s="213"/>
      <c r="P243" s="212"/>
      <c r="Q243" s="106" t="b">
        <f t="shared" si="12"/>
        <v>0</v>
      </c>
      <c r="R243" s="199">
        <f t="shared" si="11"/>
        <v>0</v>
      </c>
    </row>
    <row r="244" spans="1:18" x14ac:dyDescent="0.3">
      <c r="A244" s="124">
        <v>9</v>
      </c>
      <c r="B244" s="37" t="s">
        <v>499</v>
      </c>
      <c r="C244" s="38">
        <v>3</v>
      </c>
      <c r="D244" s="125" t="s">
        <v>486</v>
      </c>
      <c r="E244" s="123" t="s">
        <v>502</v>
      </c>
      <c r="F244" s="126" t="s">
        <v>52</v>
      </c>
      <c r="G244" s="131"/>
      <c r="H244" s="142" t="s">
        <v>520</v>
      </c>
      <c r="I244" s="123" t="s">
        <v>526</v>
      </c>
      <c r="J244" s="212" t="s">
        <v>1383</v>
      </c>
      <c r="K244" s="212"/>
      <c r="L244" s="212"/>
      <c r="M244" s="213"/>
      <c r="N244" s="213"/>
      <c r="O244" s="213"/>
      <c r="P244" s="212"/>
      <c r="Q244" s="106" t="b">
        <f t="shared" si="12"/>
        <v>1</v>
      </c>
      <c r="R244" s="199">
        <f t="shared" si="11"/>
        <v>1</v>
      </c>
    </row>
    <row r="245" spans="1:18" x14ac:dyDescent="0.3">
      <c r="A245" s="124">
        <v>9</v>
      </c>
      <c r="B245" s="37" t="s">
        <v>499</v>
      </c>
      <c r="C245" s="38">
        <v>4</v>
      </c>
      <c r="D245" s="125" t="s">
        <v>487</v>
      </c>
      <c r="E245" s="123" t="s">
        <v>503</v>
      </c>
      <c r="F245" s="126" t="s">
        <v>52</v>
      </c>
      <c r="G245" s="131"/>
      <c r="H245" s="142" t="s">
        <v>520</v>
      </c>
      <c r="I245" s="123" t="s">
        <v>526</v>
      </c>
      <c r="J245" s="212" t="s">
        <v>1383</v>
      </c>
      <c r="K245" s="212"/>
      <c r="L245" s="212"/>
      <c r="M245" s="213"/>
      <c r="N245" s="212" t="s">
        <v>1383</v>
      </c>
      <c r="O245" s="212" t="s">
        <v>1383</v>
      </c>
      <c r="P245" s="212"/>
      <c r="Q245" s="106" t="b">
        <f t="shared" si="12"/>
        <v>1</v>
      </c>
      <c r="R245" s="199">
        <f t="shared" si="11"/>
        <v>3</v>
      </c>
    </row>
    <row r="246" spans="1:18" x14ac:dyDescent="0.3">
      <c r="A246" s="124">
        <v>9</v>
      </c>
      <c r="B246" s="37" t="s">
        <v>499</v>
      </c>
      <c r="C246" s="38">
        <v>5</v>
      </c>
      <c r="D246" s="125" t="s">
        <v>488</v>
      </c>
      <c r="E246" s="123" t="s">
        <v>504</v>
      </c>
      <c r="F246" s="126" t="s">
        <v>52</v>
      </c>
      <c r="G246" s="131"/>
      <c r="H246" s="142" t="s">
        <v>520</v>
      </c>
      <c r="I246" s="123" t="s">
        <v>526</v>
      </c>
      <c r="J246" s="212" t="s">
        <v>1383</v>
      </c>
      <c r="K246" s="212"/>
      <c r="L246" s="212"/>
      <c r="M246" s="213"/>
      <c r="N246" s="213"/>
      <c r="O246" s="213"/>
      <c r="P246" s="212"/>
      <c r="Q246" s="106" t="b">
        <f t="shared" si="12"/>
        <v>1</v>
      </c>
      <c r="R246" s="199">
        <f t="shared" si="11"/>
        <v>1</v>
      </c>
    </row>
    <row r="247" spans="1:18" x14ac:dyDescent="0.3">
      <c r="A247" s="124">
        <v>9</v>
      </c>
      <c r="B247" s="37" t="s">
        <v>499</v>
      </c>
      <c r="C247" s="38">
        <v>6</v>
      </c>
      <c r="D247" s="125" t="s">
        <v>489</v>
      </c>
      <c r="E247" s="123" t="s">
        <v>505</v>
      </c>
      <c r="F247" s="126" t="s">
        <v>52</v>
      </c>
      <c r="G247" s="131"/>
      <c r="H247" s="142" t="s">
        <v>520</v>
      </c>
      <c r="I247" s="123" t="s">
        <v>526</v>
      </c>
      <c r="J247" s="212" t="s">
        <v>1383</v>
      </c>
      <c r="K247" s="212"/>
      <c r="L247" s="212"/>
      <c r="M247" s="213"/>
      <c r="N247" s="213"/>
      <c r="O247" s="213"/>
      <c r="P247" s="212"/>
      <c r="Q247" s="106" t="b">
        <f t="shared" si="12"/>
        <v>1</v>
      </c>
      <c r="R247" s="199">
        <f t="shared" si="11"/>
        <v>1</v>
      </c>
    </row>
    <row r="248" spans="1:18" x14ac:dyDescent="0.3">
      <c r="A248" s="124">
        <v>9</v>
      </c>
      <c r="B248" s="37" t="s">
        <v>499</v>
      </c>
      <c r="C248" s="38">
        <v>7</v>
      </c>
      <c r="D248" s="125" t="s">
        <v>490</v>
      </c>
      <c r="E248" s="123" t="s">
        <v>506</v>
      </c>
      <c r="F248" s="131"/>
      <c r="G248" s="128" t="s">
        <v>53</v>
      </c>
      <c r="H248" s="172" t="s">
        <v>520</v>
      </c>
      <c r="I248" s="155" t="s">
        <v>526</v>
      </c>
      <c r="J248" s="212"/>
      <c r="K248" s="212"/>
      <c r="L248" s="212"/>
      <c r="M248" s="213"/>
      <c r="N248" s="213"/>
      <c r="O248" s="213"/>
      <c r="P248" s="212"/>
      <c r="Q248" s="106" t="b">
        <f t="shared" si="12"/>
        <v>0</v>
      </c>
      <c r="R248" s="199">
        <f t="shared" si="11"/>
        <v>0</v>
      </c>
    </row>
    <row r="249" spans="1:18" x14ac:dyDescent="0.3">
      <c r="A249" s="124">
        <v>9</v>
      </c>
      <c r="B249" s="37" t="s">
        <v>499</v>
      </c>
      <c r="C249" s="38">
        <v>8</v>
      </c>
      <c r="D249" s="125" t="s">
        <v>491</v>
      </c>
      <c r="E249" s="123" t="s">
        <v>507</v>
      </c>
      <c r="F249" s="126" t="s">
        <v>52</v>
      </c>
      <c r="G249" s="131"/>
      <c r="H249" s="122" t="s">
        <v>521</v>
      </c>
      <c r="I249" s="123" t="s">
        <v>525</v>
      </c>
      <c r="J249" s="212"/>
      <c r="K249" s="212"/>
      <c r="L249" s="212"/>
      <c r="M249" s="213"/>
      <c r="N249" s="213"/>
      <c r="O249" s="213"/>
      <c r="P249" s="212"/>
      <c r="Q249" s="106" t="b">
        <f t="shared" si="12"/>
        <v>0</v>
      </c>
      <c r="R249" s="199">
        <f t="shared" si="11"/>
        <v>0</v>
      </c>
    </row>
    <row r="250" spans="1:18" x14ac:dyDescent="0.3">
      <c r="A250" s="124">
        <v>9</v>
      </c>
      <c r="B250" s="37" t="s">
        <v>499</v>
      </c>
      <c r="C250" s="38">
        <v>9</v>
      </c>
      <c r="D250" s="125" t="s">
        <v>492</v>
      </c>
      <c r="E250" s="123" t="s">
        <v>508</v>
      </c>
      <c r="F250" s="126" t="s">
        <v>52</v>
      </c>
      <c r="G250" s="131"/>
      <c r="H250" s="142" t="s">
        <v>520</v>
      </c>
      <c r="I250" s="123" t="s">
        <v>526</v>
      </c>
      <c r="J250" s="212"/>
      <c r="K250" s="212"/>
      <c r="L250" s="212"/>
      <c r="M250" s="213"/>
      <c r="N250" s="213"/>
      <c r="O250" s="213"/>
      <c r="P250" s="212"/>
      <c r="Q250" s="106" t="b">
        <f t="shared" si="12"/>
        <v>0</v>
      </c>
      <c r="R250" s="199">
        <f t="shared" si="11"/>
        <v>0</v>
      </c>
    </row>
    <row r="251" spans="1:18" x14ac:dyDescent="0.3">
      <c r="A251" s="124">
        <v>9</v>
      </c>
      <c r="B251" s="37" t="s">
        <v>499</v>
      </c>
      <c r="C251" s="38">
        <v>10</v>
      </c>
      <c r="D251" s="125" t="s">
        <v>493</v>
      </c>
      <c r="E251" s="123" t="s">
        <v>509</v>
      </c>
      <c r="F251" s="126" t="s">
        <v>52</v>
      </c>
      <c r="G251" s="131"/>
      <c r="H251" s="142" t="s">
        <v>520</v>
      </c>
      <c r="I251" s="123" t="s">
        <v>526</v>
      </c>
      <c r="J251" s="212" t="s">
        <v>1383</v>
      </c>
      <c r="K251" s="212"/>
      <c r="L251" s="212"/>
      <c r="M251" s="213"/>
      <c r="N251" s="213"/>
      <c r="O251" s="213"/>
      <c r="P251" s="212"/>
      <c r="Q251" s="106" t="b">
        <f t="shared" si="12"/>
        <v>1</v>
      </c>
      <c r="R251" s="199">
        <f t="shared" si="11"/>
        <v>1</v>
      </c>
    </row>
    <row r="252" spans="1:18" x14ac:dyDescent="0.3">
      <c r="A252" s="124">
        <v>9</v>
      </c>
      <c r="B252" s="37" t="s">
        <v>499</v>
      </c>
      <c r="C252" s="38">
        <v>11</v>
      </c>
      <c r="D252" s="125" t="s">
        <v>517</v>
      </c>
      <c r="E252" s="123" t="s">
        <v>510</v>
      </c>
      <c r="F252" s="131"/>
      <c r="G252" s="128" t="s">
        <v>53</v>
      </c>
      <c r="H252" s="172" t="s">
        <v>520</v>
      </c>
      <c r="I252" s="155" t="s">
        <v>526</v>
      </c>
      <c r="J252" s="212"/>
      <c r="K252" s="212"/>
      <c r="L252" s="212"/>
      <c r="M252" s="213"/>
      <c r="N252" s="213"/>
      <c r="O252" s="213"/>
      <c r="P252" s="212"/>
      <c r="Q252" s="106" t="b">
        <f t="shared" si="12"/>
        <v>0</v>
      </c>
      <c r="R252" s="199">
        <f t="shared" si="11"/>
        <v>0</v>
      </c>
    </row>
    <row r="253" spans="1:18" x14ac:dyDescent="0.3">
      <c r="A253" s="124">
        <v>9</v>
      </c>
      <c r="B253" s="37" t="s">
        <v>499</v>
      </c>
      <c r="C253" s="38">
        <v>12</v>
      </c>
      <c r="D253" s="125" t="s">
        <v>38</v>
      </c>
      <c r="E253" s="123" t="s">
        <v>511</v>
      </c>
      <c r="F253" s="126" t="s">
        <v>52</v>
      </c>
      <c r="G253" s="131"/>
      <c r="H253" s="142" t="s">
        <v>520</v>
      </c>
      <c r="I253" s="123" t="s">
        <v>526</v>
      </c>
      <c r="J253" s="212" t="s">
        <v>1383</v>
      </c>
      <c r="K253" s="212"/>
      <c r="L253" s="212"/>
      <c r="M253" s="213"/>
      <c r="N253" s="213"/>
      <c r="O253" s="213"/>
      <c r="P253" s="212"/>
      <c r="Q253" s="106" t="b">
        <f t="shared" si="12"/>
        <v>1</v>
      </c>
      <c r="R253" s="199">
        <f t="shared" si="11"/>
        <v>1</v>
      </c>
    </row>
    <row r="254" spans="1:18" x14ac:dyDescent="0.3">
      <c r="A254" s="124">
        <v>9</v>
      </c>
      <c r="B254" s="37" t="s">
        <v>499</v>
      </c>
      <c r="C254" s="38">
        <v>13</v>
      </c>
      <c r="D254" s="125" t="s">
        <v>494</v>
      </c>
      <c r="E254" s="123" t="s">
        <v>512</v>
      </c>
      <c r="F254" s="131"/>
      <c r="G254" s="128" t="s">
        <v>53</v>
      </c>
      <c r="H254" s="172" t="s">
        <v>520</v>
      </c>
      <c r="I254" s="155" t="s">
        <v>526</v>
      </c>
      <c r="J254" s="212"/>
      <c r="K254" s="212"/>
      <c r="L254" s="212"/>
      <c r="M254" s="213"/>
      <c r="N254" s="213"/>
      <c r="O254" s="213"/>
      <c r="P254" s="212"/>
      <c r="Q254" s="106" t="b">
        <f t="shared" si="12"/>
        <v>0</v>
      </c>
      <c r="R254" s="199">
        <f t="shared" si="11"/>
        <v>0</v>
      </c>
    </row>
    <row r="255" spans="1:18" x14ac:dyDescent="0.3">
      <c r="A255" s="124">
        <v>9</v>
      </c>
      <c r="B255" s="37" t="s">
        <v>499</v>
      </c>
      <c r="C255" s="38">
        <v>14</v>
      </c>
      <c r="D255" s="125" t="s">
        <v>495</v>
      </c>
      <c r="E255" s="123" t="s">
        <v>526</v>
      </c>
      <c r="F255" s="126" t="s">
        <v>52</v>
      </c>
      <c r="G255" s="131"/>
      <c r="H255" s="122" t="s">
        <v>522</v>
      </c>
      <c r="I255" s="123" t="s">
        <v>526</v>
      </c>
      <c r="J255" s="212"/>
      <c r="K255" s="212" t="s">
        <v>1383</v>
      </c>
      <c r="L255" s="212"/>
      <c r="M255" s="213"/>
      <c r="N255" s="212" t="s">
        <v>1383</v>
      </c>
      <c r="O255" s="212"/>
      <c r="P255" s="212"/>
      <c r="Q255" s="106" t="b">
        <f t="shared" si="12"/>
        <v>1</v>
      </c>
      <c r="R255" s="199">
        <f t="shared" si="11"/>
        <v>2</v>
      </c>
    </row>
    <row r="256" spans="1:18" x14ac:dyDescent="0.3">
      <c r="A256" s="124">
        <v>9</v>
      </c>
      <c r="B256" s="37" t="s">
        <v>499</v>
      </c>
      <c r="C256" s="38">
        <v>15</v>
      </c>
      <c r="D256" s="125" t="s">
        <v>43</v>
      </c>
      <c r="E256" s="123" t="s">
        <v>513</v>
      </c>
      <c r="F256" s="126" t="s">
        <v>52</v>
      </c>
      <c r="G256" s="131"/>
      <c r="H256" s="142" t="s">
        <v>520</v>
      </c>
      <c r="I256" s="123" t="s">
        <v>526</v>
      </c>
      <c r="J256" s="212"/>
      <c r="K256" s="212"/>
      <c r="L256" s="212"/>
      <c r="M256" s="213"/>
      <c r="N256" s="213" t="s">
        <v>1383</v>
      </c>
      <c r="O256" s="213"/>
      <c r="P256" s="212" t="s">
        <v>1383</v>
      </c>
      <c r="Q256" s="106" t="b">
        <f t="shared" si="12"/>
        <v>1</v>
      </c>
      <c r="R256" s="199">
        <f t="shared" si="11"/>
        <v>2</v>
      </c>
    </row>
    <row r="257" spans="1:18" x14ac:dyDescent="0.3">
      <c r="A257" s="124">
        <v>9</v>
      </c>
      <c r="B257" s="37" t="s">
        <v>499</v>
      </c>
      <c r="C257" s="38">
        <v>16</v>
      </c>
      <c r="D257" s="125" t="s">
        <v>496</v>
      </c>
      <c r="E257" s="123" t="s">
        <v>514</v>
      </c>
      <c r="F257" s="131"/>
      <c r="G257" s="128" t="s">
        <v>53</v>
      </c>
      <c r="H257" s="172" t="s">
        <v>520</v>
      </c>
      <c r="I257" s="155" t="s">
        <v>526</v>
      </c>
      <c r="J257" s="212"/>
      <c r="K257" s="212"/>
      <c r="L257" s="212"/>
      <c r="M257" s="213"/>
      <c r="N257" s="213"/>
      <c r="O257" s="213"/>
      <c r="P257" s="212"/>
      <c r="Q257" s="106" t="b">
        <f t="shared" si="12"/>
        <v>0</v>
      </c>
      <c r="R257" s="199">
        <f t="shared" si="11"/>
        <v>0</v>
      </c>
    </row>
    <row r="258" spans="1:18" x14ac:dyDescent="0.3">
      <c r="A258" s="124">
        <v>9</v>
      </c>
      <c r="B258" s="37" t="s">
        <v>499</v>
      </c>
      <c r="C258" s="38">
        <v>17</v>
      </c>
      <c r="D258" s="125" t="s">
        <v>497</v>
      </c>
      <c r="E258" s="123" t="s">
        <v>515</v>
      </c>
      <c r="F258" s="131"/>
      <c r="G258" s="128" t="s">
        <v>53</v>
      </c>
      <c r="H258" s="172" t="s">
        <v>520</v>
      </c>
      <c r="I258" s="155" t="s">
        <v>526</v>
      </c>
      <c r="J258" s="212"/>
      <c r="K258" s="212"/>
      <c r="L258" s="212"/>
      <c r="M258" s="213"/>
      <c r="N258" s="213"/>
      <c r="O258" s="213"/>
      <c r="P258" s="212"/>
      <c r="Q258" s="106" t="b">
        <f t="shared" si="12"/>
        <v>0</v>
      </c>
      <c r="R258" s="199">
        <f t="shared" si="11"/>
        <v>0</v>
      </c>
    </row>
    <row r="259" spans="1:18" ht="19.5" thickBot="1" x14ac:dyDescent="0.35">
      <c r="A259" s="132">
        <v>9</v>
      </c>
      <c r="B259" s="39" t="s">
        <v>499</v>
      </c>
      <c r="C259" s="45">
        <v>18</v>
      </c>
      <c r="D259" s="156" t="s">
        <v>498</v>
      </c>
      <c r="E259" s="159" t="s">
        <v>516</v>
      </c>
      <c r="F259" s="174"/>
      <c r="G259" s="135" t="s">
        <v>53</v>
      </c>
      <c r="H259" s="175" t="s">
        <v>518</v>
      </c>
      <c r="I259" s="176" t="s">
        <v>523</v>
      </c>
      <c r="J259" s="221"/>
      <c r="K259" s="221"/>
      <c r="L259" s="221"/>
      <c r="M259" s="222"/>
      <c r="N259" s="222"/>
      <c r="O259" s="222"/>
      <c r="P259" s="221"/>
      <c r="Q259" s="244" t="b">
        <f t="shared" si="12"/>
        <v>0</v>
      </c>
      <c r="R259" s="202">
        <f t="shared" si="11"/>
        <v>0</v>
      </c>
    </row>
    <row r="260" spans="1:18" ht="19.5" hidden="1" thickBot="1" x14ac:dyDescent="0.3">
      <c r="A260" s="137">
        <f>A259</f>
        <v>9</v>
      </c>
      <c r="B260" s="138" t="str">
        <f>B259</f>
        <v>KUMALARANG</v>
      </c>
      <c r="C260" s="15">
        <f>COUNTA(C242:C259)</f>
        <v>18</v>
      </c>
      <c r="D260" s="139" t="s">
        <v>1</v>
      </c>
      <c r="E260" s="139" t="s">
        <v>1374</v>
      </c>
      <c r="F260" s="15">
        <f>COUNTA(F242:F259)</f>
        <v>10</v>
      </c>
      <c r="G260" s="15">
        <f>COUNTA(G242:G259)</f>
        <v>8</v>
      </c>
      <c r="H260" s="291" t="s">
        <v>3</v>
      </c>
      <c r="I260" s="292"/>
      <c r="J260" s="15">
        <f t="shared" ref="J260:P260" si="16">COUNTA(J242:J259)</f>
        <v>6</v>
      </c>
      <c r="K260" s="15">
        <f t="shared" si="16"/>
        <v>1</v>
      </c>
      <c r="L260" s="15">
        <f t="shared" si="16"/>
        <v>0</v>
      </c>
      <c r="M260" s="15">
        <f t="shared" si="16"/>
        <v>0</v>
      </c>
      <c r="N260" s="15">
        <f t="shared" si="16"/>
        <v>3</v>
      </c>
      <c r="O260" s="15">
        <f t="shared" si="16"/>
        <v>1</v>
      </c>
      <c r="P260" s="15">
        <f t="shared" si="16"/>
        <v>1</v>
      </c>
      <c r="Q260" s="22">
        <f>COUNTIF(Q242:Q259,TRUE)</f>
        <v>8</v>
      </c>
      <c r="R260" s="249">
        <f>SUM(J260:P260)</f>
        <v>12</v>
      </c>
    </row>
    <row r="261" spans="1:18" x14ac:dyDescent="0.3">
      <c r="A261" s="140">
        <v>10</v>
      </c>
      <c r="B261" s="36" t="s">
        <v>550</v>
      </c>
      <c r="C261" s="46">
        <v>1</v>
      </c>
      <c r="D261" s="166" t="s">
        <v>527</v>
      </c>
      <c r="E261" s="144" t="s">
        <v>551</v>
      </c>
      <c r="F261" s="165"/>
      <c r="G261" s="250" t="s">
        <v>53</v>
      </c>
      <c r="H261" s="172" t="s">
        <v>262</v>
      </c>
      <c r="I261" s="173" t="s">
        <v>580</v>
      </c>
      <c r="J261" s="209"/>
      <c r="K261" s="209"/>
      <c r="L261" s="209"/>
      <c r="M261" s="210"/>
      <c r="N261" s="210"/>
      <c r="O261" s="210"/>
      <c r="P261" s="209"/>
      <c r="Q261" s="106" t="b">
        <f t="shared" si="12"/>
        <v>0</v>
      </c>
      <c r="R261" s="196">
        <f t="shared" ref="R261:R323" si="17">COUNTA(J261:P261)</f>
        <v>0</v>
      </c>
    </row>
    <row r="262" spans="1:18" x14ac:dyDescent="0.3">
      <c r="A262" s="124">
        <v>10</v>
      </c>
      <c r="B262" s="37" t="s">
        <v>550</v>
      </c>
      <c r="C262" s="38">
        <v>2</v>
      </c>
      <c r="D262" s="125" t="s">
        <v>528</v>
      </c>
      <c r="E262" s="123" t="s">
        <v>552</v>
      </c>
      <c r="F262" s="126" t="s">
        <v>52</v>
      </c>
      <c r="G262" s="131"/>
      <c r="H262" s="122" t="s">
        <v>262</v>
      </c>
      <c r="I262" s="123" t="s">
        <v>580</v>
      </c>
      <c r="J262" s="212" t="s">
        <v>1383</v>
      </c>
      <c r="K262" s="212"/>
      <c r="L262" s="212"/>
      <c r="M262" s="213"/>
      <c r="N262" s="213"/>
      <c r="O262" s="213"/>
      <c r="P262" s="212"/>
      <c r="Q262" s="106" t="b">
        <f t="shared" ref="Q262:Q285" si="18">IF(COUNTA(J262:P262)=0,FALSE,TRUE)</f>
        <v>1</v>
      </c>
      <c r="R262" s="199">
        <f t="shared" si="17"/>
        <v>1</v>
      </c>
    </row>
    <row r="263" spans="1:18" x14ac:dyDescent="0.3">
      <c r="A263" s="124">
        <v>10</v>
      </c>
      <c r="B263" s="37" t="s">
        <v>550</v>
      </c>
      <c r="C263" s="38">
        <v>3</v>
      </c>
      <c r="D263" s="125" t="s">
        <v>529</v>
      </c>
      <c r="E263" s="123" t="s">
        <v>553</v>
      </c>
      <c r="F263" s="131"/>
      <c r="G263" s="128" t="s">
        <v>53</v>
      </c>
      <c r="H263" s="154" t="s">
        <v>262</v>
      </c>
      <c r="I263" s="155" t="s">
        <v>580</v>
      </c>
      <c r="J263" s="212"/>
      <c r="K263" s="212"/>
      <c r="L263" s="212"/>
      <c r="M263" s="213"/>
      <c r="N263" s="213"/>
      <c r="O263" s="213"/>
      <c r="P263" s="212"/>
      <c r="Q263" s="106" t="b">
        <f t="shared" si="18"/>
        <v>0</v>
      </c>
      <c r="R263" s="199">
        <f t="shared" si="17"/>
        <v>0</v>
      </c>
    </row>
    <row r="264" spans="1:18" x14ac:dyDescent="0.3">
      <c r="A264" s="124">
        <v>10</v>
      </c>
      <c r="B264" s="37" t="s">
        <v>550</v>
      </c>
      <c r="C264" s="38">
        <v>4</v>
      </c>
      <c r="D264" s="125" t="s">
        <v>530</v>
      </c>
      <c r="E264" s="123" t="s">
        <v>554</v>
      </c>
      <c r="F264" s="126" t="s">
        <v>52</v>
      </c>
      <c r="G264" s="131"/>
      <c r="H264" s="122" t="s">
        <v>576</v>
      </c>
      <c r="I264" s="123" t="s">
        <v>575</v>
      </c>
      <c r="J264" s="212" t="s">
        <v>1383</v>
      </c>
      <c r="K264" s="212"/>
      <c r="L264" s="212"/>
      <c r="M264" s="213"/>
      <c r="N264" s="213"/>
      <c r="O264" s="213"/>
      <c r="P264" s="212"/>
      <c r="Q264" s="106" t="b">
        <f t="shared" si="18"/>
        <v>1</v>
      </c>
      <c r="R264" s="199">
        <f t="shared" si="17"/>
        <v>1</v>
      </c>
    </row>
    <row r="265" spans="1:18" x14ac:dyDescent="0.3">
      <c r="A265" s="124">
        <v>10</v>
      </c>
      <c r="B265" s="37" t="s">
        <v>550</v>
      </c>
      <c r="C265" s="38">
        <v>5</v>
      </c>
      <c r="D265" s="125" t="s">
        <v>531</v>
      </c>
      <c r="E265" s="123" t="s">
        <v>555</v>
      </c>
      <c r="F265" s="126" t="s">
        <v>52</v>
      </c>
      <c r="G265" s="131"/>
      <c r="H265" s="122" t="s">
        <v>581</v>
      </c>
      <c r="I265" s="123" t="s">
        <v>577</v>
      </c>
      <c r="J265" s="212" t="s">
        <v>1383</v>
      </c>
      <c r="K265" s="212"/>
      <c r="L265" s="212"/>
      <c r="M265" s="213"/>
      <c r="N265" s="213"/>
      <c r="O265" s="213"/>
      <c r="P265" s="212"/>
      <c r="Q265" s="106" t="b">
        <f t="shared" si="18"/>
        <v>1</v>
      </c>
      <c r="R265" s="199">
        <f t="shared" si="17"/>
        <v>1</v>
      </c>
    </row>
    <row r="266" spans="1:18" x14ac:dyDescent="0.3">
      <c r="A266" s="124">
        <v>10</v>
      </c>
      <c r="B266" s="37" t="s">
        <v>550</v>
      </c>
      <c r="C266" s="38">
        <v>6</v>
      </c>
      <c r="D266" s="125" t="s">
        <v>532</v>
      </c>
      <c r="E266" s="123" t="s">
        <v>556</v>
      </c>
      <c r="F266" s="131"/>
      <c r="G266" s="128" t="s">
        <v>53</v>
      </c>
      <c r="H266" s="154" t="s">
        <v>262</v>
      </c>
      <c r="I266" s="155" t="s">
        <v>580</v>
      </c>
      <c r="J266" s="212"/>
      <c r="K266" s="212"/>
      <c r="L266" s="212"/>
      <c r="M266" s="213"/>
      <c r="N266" s="213"/>
      <c r="O266" s="213"/>
      <c r="P266" s="212"/>
      <c r="Q266" s="106" t="b">
        <f t="shared" si="18"/>
        <v>0</v>
      </c>
      <c r="R266" s="199">
        <f t="shared" si="17"/>
        <v>0</v>
      </c>
    </row>
    <row r="267" spans="1:18" x14ac:dyDescent="0.3">
      <c r="A267" s="124">
        <v>10</v>
      </c>
      <c r="B267" s="37" t="s">
        <v>550</v>
      </c>
      <c r="C267" s="38">
        <v>7</v>
      </c>
      <c r="D267" s="125" t="s">
        <v>533</v>
      </c>
      <c r="E267" s="123" t="s">
        <v>557</v>
      </c>
      <c r="F267" s="126" t="s">
        <v>52</v>
      </c>
      <c r="G267" s="131"/>
      <c r="H267" s="122" t="s">
        <v>576</v>
      </c>
      <c r="I267" s="123" t="s">
        <v>575</v>
      </c>
      <c r="J267" s="212" t="s">
        <v>1383</v>
      </c>
      <c r="K267" s="212" t="s">
        <v>1383</v>
      </c>
      <c r="L267" s="212"/>
      <c r="M267" s="213"/>
      <c r="N267" s="213"/>
      <c r="O267" s="213"/>
      <c r="P267" s="212"/>
      <c r="Q267" s="106" t="b">
        <f t="shared" si="18"/>
        <v>1</v>
      </c>
      <c r="R267" s="199">
        <f t="shared" si="17"/>
        <v>2</v>
      </c>
    </row>
    <row r="268" spans="1:18" x14ac:dyDescent="0.3">
      <c r="A268" s="124">
        <v>10</v>
      </c>
      <c r="B268" s="37" t="s">
        <v>550</v>
      </c>
      <c r="C268" s="38">
        <v>8</v>
      </c>
      <c r="D268" s="125" t="s">
        <v>424</v>
      </c>
      <c r="E268" s="123" t="s">
        <v>558</v>
      </c>
      <c r="F268" s="126" t="s">
        <v>52</v>
      </c>
      <c r="G268" s="131"/>
      <c r="H268" s="122" t="s">
        <v>576</v>
      </c>
      <c r="I268" s="123" t="s">
        <v>575</v>
      </c>
      <c r="J268" s="212" t="s">
        <v>1383</v>
      </c>
      <c r="K268" s="212" t="s">
        <v>1383</v>
      </c>
      <c r="L268" s="212"/>
      <c r="M268" s="213"/>
      <c r="N268" s="213"/>
      <c r="O268" s="213"/>
      <c r="P268" s="212"/>
      <c r="Q268" s="106" t="b">
        <f t="shared" si="18"/>
        <v>1</v>
      </c>
      <c r="R268" s="199">
        <f t="shared" si="17"/>
        <v>2</v>
      </c>
    </row>
    <row r="269" spans="1:18" x14ac:dyDescent="0.3">
      <c r="A269" s="124">
        <v>10</v>
      </c>
      <c r="B269" s="37" t="s">
        <v>550</v>
      </c>
      <c r="C269" s="38">
        <v>9</v>
      </c>
      <c r="D269" s="125" t="s">
        <v>534</v>
      </c>
      <c r="E269" s="123" t="s">
        <v>559</v>
      </c>
      <c r="F269" s="126" t="s">
        <v>52</v>
      </c>
      <c r="G269" s="131"/>
      <c r="H269" s="122" t="s">
        <v>576</v>
      </c>
      <c r="I269" s="123" t="s">
        <v>575</v>
      </c>
      <c r="J269" s="212" t="s">
        <v>1383</v>
      </c>
      <c r="K269" s="212"/>
      <c r="L269" s="212"/>
      <c r="M269" s="213"/>
      <c r="N269" s="213"/>
      <c r="O269" s="213"/>
      <c r="P269" s="212"/>
      <c r="Q269" s="106" t="b">
        <f t="shared" si="18"/>
        <v>1</v>
      </c>
      <c r="R269" s="199">
        <f t="shared" si="17"/>
        <v>1</v>
      </c>
    </row>
    <row r="270" spans="1:18" x14ac:dyDescent="0.3">
      <c r="A270" s="124">
        <v>10</v>
      </c>
      <c r="B270" s="37" t="s">
        <v>550</v>
      </c>
      <c r="C270" s="38">
        <v>10</v>
      </c>
      <c r="D270" s="125" t="s">
        <v>535</v>
      </c>
      <c r="E270" s="123" t="s">
        <v>560</v>
      </c>
      <c r="F270" s="131"/>
      <c r="G270" s="128" t="s">
        <v>53</v>
      </c>
      <c r="H270" s="154" t="s">
        <v>262</v>
      </c>
      <c r="I270" s="155" t="s">
        <v>580</v>
      </c>
      <c r="J270" s="212"/>
      <c r="K270" s="212"/>
      <c r="L270" s="212"/>
      <c r="M270" s="213"/>
      <c r="N270" s="213"/>
      <c r="O270" s="213"/>
      <c r="P270" s="212"/>
      <c r="Q270" s="106" t="b">
        <f t="shared" si="18"/>
        <v>0</v>
      </c>
      <c r="R270" s="199">
        <f t="shared" si="17"/>
        <v>0</v>
      </c>
    </row>
    <row r="271" spans="1:18" x14ac:dyDescent="0.3">
      <c r="A271" s="124">
        <v>10</v>
      </c>
      <c r="B271" s="37" t="s">
        <v>550</v>
      </c>
      <c r="C271" s="38">
        <v>11</v>
      </c>
      <c r="D271" s="125" t="s">
        <v>536</v>
      </c>
      <c r="E271" s="123" t="s">
        <v>561</v>
      </c>
      <c r="F271" s="126" t="s">
        <v>52</v>
      </c>
      <c r="G271" s="131"/>
      <c r="H271" s="122" t="s">
        <v>578</v>
      </c>
      <c r="I271" s="123" t="s">
        <v>579</v>
      </c>
      <c r="J271" s="212" t="s">
        <v>1383</v>
      </c>
      <c r="K271" s="212"/>
      <c r="L271" s="212"/>
      <c r="M271" s="213"/>
      <c r="N271" s="213"/>
      <c r="O271" s="213"/>
      <c r="P271" s="212"/>
      <c r="Q271" s="106" t="b">
        <f t="shared" si="18"/>
        <v>1</v>
      </c>
      <c r="R271" s="199">
        <f t="shared" si="17"/>
        <v>1</v>
      </c>
    </row>
    <row r="272" spans="1:18" x14ac:dyDescent="0.3">
      <c r="A272" s="124">
        <v>10</v>
      </c>
      <c r="B272" s="37" t="s">
        <v>550</v>
      </c>
      <c r="C272" s="38">
        <v>12</v>
      </c>
      <c r="D272" s="125" t="s">
        <v>537</v>
      </c>
      <c r="E272" s="123" t="s">
        <v>562</v>
      </c>
      <c r="F272" s="126" t="s">
        <v>52</v>
      </c>
      <c r="G272" s="131"/>
      <c r="H272" s="122" t="s">
        <v>262</v>
      </c>
      <c r="I272" s="123" t="s">
        <v>580</v>
      </c>
      <c r="J272" s="212" t="s">
        <v>1383</v>
      </c>
      <c r="K272" s="212"/>
      <c r="L272" s="212"/>
      <c r="M272" s="212" t="s">
        <v>1383</v>
      </c>
      <c r="N272" s="213"/>
      <c r="O272" s="213"/>
      <c r="P272" s="212"/>
      <c r="Q272" s="106" t="b">
        <f t="shared" si="18"/>
        <v>1</v>
      </c>
      <c r="R272" s="199">
        <f t="shared" si="17"/>
        <v>2</v>
      </c>
    </row>
    <row r="273" spans="1:18" x14ac:dyDescent="0.3">
      <c r="A273" s="124">
        <v>10</v>
      </c>
      <c r="B273" s="37" t="s">
        <v>550</v>
      </c>
      <c r="C273" s="38">
        <v>13</v>
      </c>
      <c r="D273" s="125" t="s">
        <v>1394</v>
      </c>
      <c r="E273" s="123" t="s">
        <v>563</v>
      </c>
      <c r="F273" s="126" t="s">
        <v>52</v>
      </c>
      <c r="G273" s="131"/>
      <c r="H273" s="122" t="s">
        <v>262</v>
      </c>
      <c r="I273" s="123" t="s">
        <v>580</v>
      </c>
      <c r="J273" s="212" t="s">
        <v>1383</v>
      </c>
      <c r="K273" s="212"/>
      <c r="L273" s="212"/>
      <c r="M273" s="213"/>
      <c r="N273" s="212" t="s">
        <v>1383</v>
      </c>
      <c r="O273" s="212"/>
      <c r="P273" s="212"/>
      <c r="Q273" s="106" t="b">
        <f t="shared" si="18"/>
        <v>1</v>
      </c>
      <c r="R273" s="199">
        <f t="shared" si="17"/>
        <v>2</v>
      </c>
    </row>
    <row r="274" spans="1:18" x14ac:dyDescent="0.3">
      <c r="A274" s="124">
        <v>10</v>
      </c>
      <c r="B274" s="37" t="s">
        <v>550</v>
      </c>
      <c r="C274" s="38">
        <v>14</v>
      </c>
      <c r="D274" s="125" t="s">
        <v>539</v>
      </c>
      <c r="E274" s="123" t="s">
        <v>564</v>
      </c>
      <c r="F274" s="126" t="s">
        <v>52</v>
      </c>
      <c r="G274" s="131"/>
      <c r="H274" s="122" t="s">
        <v>262</v>
      </c>
      <c r="I274" s="123" t="s">
        <v>580</v>
      </c>
      <c r="J274" s="212" t="s">
        <v>1383</v>
      </c>
      <c r="K274" s="212"/>
      <c r="L274" s="212"/>
      <c r="M274" s="213"/>
      <c r="N274" s="213"/>
      <c r="O274" s="213"/>
      <c r="P274" s="212"/>
      <c r="Q274" s="106" t="b">
        <f t="shared" si="18"/>
        <v>1</v>
      </c>
      <c r="R274" s="199">
        <f t="shared" si="17"/>
        <v>1</v>
      </c>
    </row>
    <row r="275" spans="1:18" x14ac:dyDescent="0.3">
      <c r="A275" s="124">
        <v>10</v>
      </c>
      <c r="B275" s="37" t="s">
        <v>550</v>
      </c>
      <c r="C275" s="38">
        <v>15</v>
      </c>
      <c r="D275" s="125" t="s">
        <v>540</v>
      </c>
      <c r="E275" s="123" t="s">
        <v>565</v>
      </c>
      <c r="F275" s="126" t="s">
        <v>52</v>
      </c>
      <c r="G275" s="131"/>
      <c r="H275" s="122" t="s">
        <v>413</v>
      </c>
      <c r="I275" s="123" t="s">
        <v>412</v>
      </c>
      <c r="J275" s="212" t="s">
        <v>1383</v>
      </c>
      <c r="K275" s="212" t="s">
        <v>1383</v>
      </c>
      <c r="L275" s="212"/>
      <c r="M275" s="213"/>
      <c r="N275" s="213"/>
      <c r="O275" s="213"/>
      <c r="P275" s="212"/>
      <c r="Q275" s="106" t="b">
        <f t="shared" si="18"/>
        <v>1</v>
      </c>
      <c r="R275" s="199">
        <f t="shared" si="17"/>
        <v>2</v>
      </c>
    </row>
    <row r="276" spans="1:18" x14ac:dyDescent="0.3">
      <c r="A276" s="124">
        <v>10</v>
      </c>
      <c r="B276" s="37" t="s">
        <v>550</v>
      </c>
      <c r="C276" s="38">
        <v>16</v>
      </c>
      <c r="D276" s="125" t="s">
        <v>541</v>
      </c>
      <c r="E276" s="123" t="s">
        <v>566</v>
      </c>
      <c r="F276" s="126" t="s">
        <v>52</v>
      </c>
      <c r="G276" s="131"/>
      <c r="H276" s="122" t="s">
        <v>576</v>
      </c>
      <c r="I276" s="123" t="s">
        <v>575</v>
      </c>
      <c r="J276" s="212" t="s">
        <v>1383</v>
      </c>
      <c r="K276" s="212"/>
      <c r="L276" s="212"/>
      <c r="M276" s="213"/>
      <c r="N276" s="213"/>
      <c r="O276" s="213"/>
      <c r="P276" s="212"/>
      <c r="Q276" s="106" t="b">
        <f t="shared" si="18"/>
        <v>1</v>
      </c>
      <c r="R276" s="199">
        <f t="shared" si="17"/>
        <v>1</v>
      </c>
    </row>
    <row r="277" spans="1:18" x14ac:dyDescent="0.3">
      <c r="A277" s="124">
        <v>10</v>
      </c>
      <c r="B277" s="37" t="s">
        <v>550</v>
      </c>
      <c r="C277" s="38">
        <v>17</v>
      </c>
      <c r="D277" s="125" t="s">
        <v>542</v>
      </c>
      <c r="E277" s="123" t="s">
        <v>566</v>
      </c>
      <c r="F277" s="126" t="s">
        <v>52</v>
      </c>
      <c r="G277" s="128"/>
      <c r="H277" s="122" t="s">
        <v>262</v>
      </c>
      <c r="I277" s="123" t="s">
        <v>580</v>
      </c>
      <c r="J277" s="212"/>
      <c r="K277" s="212"/>
      <c r="L277" s="212"/>
      <c r="M277" s="213"/>
      <c r="N277" s="213"/>
      <c r="O277" s="213"/>
      <c r="P277" s="212"/>
      <c r="Q277" s="106" t="b">
        <f t="shared" si="18"/>
        <v>0</v>
      </c>
      <c r="R277" s="199">
        <f t="shared" si="17"/>
        <v>0</v>
      </c>
    </row>
    <row r="278" spans="1:18" x14ac:dyDescent="0.3">
      <c r="A278" s="124">
        <v>10</v>
      </c>
      <c r="B278" s="37" t="s">
        <v>550</v>
      </c>
      <c r="C278" s="38">
        <v>18</v>
      </c>
      <c r="D278" s="125" t="s">
        <v>543</v>
      </c>
      <c r="E278" s="123" t="s">
        <v>567</v>
      </c>
      <c r="F278" s="126" t="s">
        <v>52</v>
      </c>
      <c r="G278" s="131"/>
      <c r="H278" s="122" t="s">
        <v>576</v>
      </c>
      <c r="I278" s="123" t="s">
        <v>575</v>
      </c>
      <c r="J278" s="212" t="s">
        <v>1383</v>
      </c>
      <c r="K278" s="212"/>
      <c r="L278" s="212"/>
      <c r="M278" s="213"/>
      <c r="N278" s="213"/>
      <c r="O278" s="213"/>
      <c r="P278" s="212"/>
      <c r="Q278" s="106" t="b">
        <f t="shared" si="18"/>
        <v>1</v>
      </c>
      <c r="R278" s="199">
        <f t="shared" si="17"/>
        <v>1</v>
      </c>
    </row>
    <row r="279" spans="1:18" x14ac:dyDescent="0.3">
      <c r="A279" s="124">
        <v>10</v>
      </c>
      <c r="B279" s="37" t="s">
        <v>550</v>
      </c>
      <c r="C279" s="38">
        <v>19</v>
      </c>
      <c r="D279" s="125" t="s">
        <v>84</v>
      </c>
      <c r="E279" s="123" t="s">
        <v>568</v>
      </c>
      <c r="F279" s="126" t="s">
        <v>52</v>
      </c>
      <c r="G279" s="131"/>
      <c r="H279" s="122" t="s">
        <v>576</v>
      </c>
      <c r="I279" s="123" t="s">
        <v>575</v>
      </c>
      <c r="J279" s="212" t="s">
        <v>1383</v>
      </c>
      <c r="K279" s="212" t="s">
        <v>1383</v>
      </c>
      <c r="L279" s="212"/>
      <c r="M279" s="213"/>
      <c r="N279" s="213"/>
      <c r="O279" s="213"/>
      <c r="P279" s="212"/>
      <c r="Q279" s="106" t="b">
        <f t="shared" si="18"/>
        <v>1</v>
      </c>
      <c r="R279" s="199">
        <f t="shared" si="17"/>
        <v>2</v>
      </c>
    </row>
    <row r="280" spans="1:18" x14ac:dyDescent="0.3">
      <c r="A280" s="124">
        <v>10</v>
      </c>
      <c r="B280" s="37" t="s">
        <v>550</v>
      </c>
      <c r="C280" s="38">
        <v>20</v>
      </c>
      <c r="D280" s="125" t="s">
        <v>544</v>
      </c>
      <c r="E280" s="123" t="s">
        <v>569</v>
      </c>
      <c r="F280" s="126" t="s">
        <v>52</v>
      </c>
      <c r="G280" s="131"/>
      <c r="H280" s="122" t="s">
        <v>576</v>
      </c>
      <c r="I280" s="123" t="s">
        <v>575</v>
      </c>
      <c r="J280" s="212" t="s">
        <v>1383</v>
      </c>
      <c r="K280" s="212" t="s">
        <v>1383</v>
      </c>
      <c r="L280" s="212"/>
      <c r="M280" s="213"/>
      <c r="N280" s="212"/>
      <c r="O280" s="212"/>
      <c r="P280" s="212"/>
      <c r="Q280" s="106" t="b">
        <f t="shared" si="18"/>
        <v>1</v>
      </c>
      <c r="R280" s="199">
        <f t="shared" si="17"/>
        <v>2</v>
      </c>
    </row>
    <row r="281" spans="1:18" x14ac:dyDescent="0.3">
      <c r="A281" s="124">
        <v>10</v>
      </c>
      <c r="B281" s="37" t="s">
        <v>550</v>
      </c>
      <c r="C281" s="38">
        <v>21</v>
      </c>
      <c r="D281" s="125" t="s">
        <v>545</v>
      </c>
      <c r="E281" s="123" t="s">
        <v>570</v>
      </c>
      <c r="F281" s="126" t="s">
        <v>52</v>
      </c>
      <c r="G281" s="131"/>
      <c r="H281" s="122" t="s">
        <v>576</v>
      </c>
      <c r="I281" s="123" t="s">
        <v>575</v>
      </c>
      <c r="J281" s="212" t="s">
        <v>1383</v>
      </c>
      <c r="K281" s="212"/>
      <c r="L281" s="212"/>
      <c r="M281" s="213"/>
      <c r="N281" s="213"/>
      <c r="O281" s="213"/>
      <c r="P281" s="212"/>
      <c r="Q281" s="106" t="b">
        <f t="shared" si="18"/>
        <v>1</v>
      </c>
      <c r="R281" s="199">
        <f t="shared" si="17"/>
        <v>1</v>
      </c>
    </row>
    <row r="282" spans="1:18" x14ac:dyDescent="0.3">
      <c r="A282" s="124">
        <v>10</v>
      </c>
      <c r="B282" s="37" t="s">
        <v>550</v>
      </c>
      <c r="C282" s="38">
        <v>22</v>
      </c>
      <c r="D282" s="125" t="s">
        <v>546</v>
      </c>
      <c r="E282" s="123" t="s">
        <v>571</v>
      </c>
      <c r="F282" s="126" t="s">
        <v>52</v>
      </c>
      <c r="G282" s="131"/>
      <c r="H282" s="122" t="s">
        <v>262</v>
      </c>
      <c r="I282" s="123" t="s">
        <v>580</v>
      </c>
      <c r="J282" s="212" t="s">
        <v>1383</v>
      </c>
      <c r="K282" s="212"/>
      <c r="L282" s="212"/>
      <c r="M282" s="213"/>
      <c r="N282" s="213"/>
      <c r="O282" s="213"/>
      <c r="P282" s="212"/>
      <c r="Q282" s="106" t="b">
        <f t="shared" si="18"/>
        <v>1</v>
      </c>
      <c r="R282" s="199">
        <f t="shared" si="17"/>
        <v>1</v>
      </c>
    </row>
    <row r="283" spans="1:18" x14ac:dyDescent="0.3">
      <c r="A283" s="124">
        <v>10</v>
      </c>
      <c r="B283" s="37" t="s">
        <v>550</v>
      </c>
      <c r="C283" s="38">
        <v>23</v>
      </c>
      <c r="D283" s="125" t="s">
        <v>1395</v>
      </c>
      <c r="E283" s="123" t="s">
        <v>572</v>
      </c>
      <c r="F283" s="126" t="s">
        <v>52</v>
      </c>
      <c r="G283" s="131"/>
      <c r="H283" s="122" t="s">
        <v>576</v>
      </c>
      <c r="I283" s="123" t="s">
        <v>575</v>
      </c>
      <c r="J283" s="212" t="s">
        <v>1383</v>
      </c>
      <c r="K283" s="212"/>
      <c r="L283" s="212"/>
      <c r="M283" s="213"/>
      <c r="N283" s="212"/>
      <c r="O283" s="212"/>
      <c r="P283" s="212"/>
      <c r="Q283" s="106" t="b">
        <f t="shared" si="18"/>
        <v>1</v>
      </c>
      <c r="R283" s="199">
        <f t="shared" si="17"/>
        <v>1</v>
      </c>
    </row>
    <row r="284" spans="1:18" x14ac:dyDescent="0.3">
      <c r="A284" s="124">
        <v>10</v>
      </c>
      <c r="B284" s="37" t="s">
        <v>550</v>
      </c>
      <c r="C284" s="38">
        <v>24</v>
      </c>
      <c r="D284" s="125" t="s">
        <v>548</v>
      </c>
      <c r="E284" s="123" t="s">
        <v>573</v>
      </c>
      <c r="F284" s="126" t="s">
        <v>52</v>
      </c>
      <c r="G284" s="131"/>
      <c r="H284" s="122" t="s">
        <v>262</v>
      </c>
      <c r="I284" s="123" t="s">
        <v>580</v>
      </c>
      <c r="J284" s="212" t="s">
        <v>1383</v>
      </c>
      <c r="K284" s="212"/>
      <c r="L284" s="212"/>
      <c r="M284" s="213"/>
      <c r="N284" s="213"/>
      <c r="O284" s="213"/>
      <c r="P284" s="212"/>
      <c r="Q284" s="106" t="b">
        <f t="shared" si="18"/>
        <v>1</v>
      </c>
      <c r="R284" s="199">
        <f t="shared" si="17"/>
        <v>1</v>
      </c>
    </row>
    <row r="285" spans="1:18" ht="19.5" thickBot="1" x14ac:dyDescent="0.35">
      <c r="A285" s="161">
        <v>10</v>
      </c>
      <c r="B285" s="47" t="s">
        <v>550</v>
      </c>
      <c r="C285" s="48">
        <v>25</v>
      </c>
      <c r="D285" s="17" t="s">
        <v>549</v>
      </c>
      <c r="E285" s="148" t="s">
        <v>574</v>
      </c>
      <c r="F285" s="162" t="s">
        <v>52</v>
      </c>
      <c r="G285" s="167"/>
      <c r="H285" s="147" t="s">
        <v>413</v>
      </c>
      <c r="I285" s="148" t="s">
        <v>412</v>
      </c>
      <c r="J285" s="215" t="s">
        <v>1383</v>
      </c>
      <c r="K285" s="215"/>
      <c r="L285" s="215"/>
      <c r="M285" s="216"/>
      <c r="N285" s="216"/>
      <c r="O285" s="216"/>
      <c r="P285" s="215"/>
      <c r="Q285" s="106" t="b">
        <f t="shared" si="18"/>
        <v>1</v>
      </c>
      <c r="R285" s="205">
        <f t="shared" si="17"/>
        <v>1</v>
      </c>
    </row>
    <row r="286" spans="1:18" ht="19.5" hidden="1" thickBot="1" x14ac:dyDescent="0.3">
      <c r="A286" s="137">
        <f>A285</f>
        <v>10</v>
      </c>
      <c r="B286" s="138" t="str">
        <f>B285</f>
        <v>LABANGAN</v>
      </c>
      <c r="C286" s="15">
        <f>COUNTA(C261:C285)</f>
        <v>25</v>
      </c>
      <c r="D286" s="139" t="s">
        <v>1</v>
      </c>
      <c r="E286" s="139" t="s">
        <v>1374</v>
      </c>
      <c r="F286" s="15">
        <f>COUNTA(F261:F285)</f>
        <v>21</v>
      </c>
      <c r="G286" s="15">
        <f>COUNTA(G261:G285)</f>
        <v>4</v>
      </c>
      <c r="H286" s="291" t="s">
        <v>3</v>
      </c>
      <c r="I286" s="292"/>
      <c r="J286" s="15">
        <f>COUNTA(J261:J285)</f>
        <v>20</v>
      </c>
      <c r="K286" s="15">
        <f t="shared" ref="K286:P286" si="19">COUNTA(K261:K285)</f>
        <v>5</v>
      </c>
      <c r="L286" s="15">
        <f t="shared" si="19"/>
        <v>0</v>
      </c>
      <c r="M286" s="15">
        <f t="shared" si="19"/>
        <v>1</v>
      </c>
      <c r="N286" s="15">
        <f t="shared" si="19"/>
        <v>1</v>
      </c>
      <c r="O286" s="15">
        <f t="shared" si="19"/>
        <v>0</v>
      </c>
      <c r="P286" s="15">
        <f t="shared" si="19"/>
        <v>0</v>
      </c>
      <c r="Q286" s="22">
        <f>COUNTIF(Q261:Q285,TRUE)</f>
        <v>20</v>
      </c>
      <c r="R286" s="249">
        <f>SUM(J286:P286)</f>
        <v>27</v>
      </c>
    </row>
    <row r="287" spans="1:18" x14ac:dyDescent="0.3">
      <c r="A287" s="119">
        <v>11</v>
      </c>
      <c r="B287" s="41" t="s">
        <v>593</v>
      </c>
      <c r="C287" s="44">
        <v>1</v>
      </c>
      <c r="D287" s="150" t="s">
        <v>582</v>
      </c>
      <c r="E287" s="153" t="s">
        <v>594</v>
      </c>
      <c r="F287" s="168"/>
      <c r="G287" s="169" t="s">
        <v>53</v>
      </c>
      <c r="H287" s="170" t="s">
        <v>518</v>
      </c>
      <c r="I287" s="171" t="s">
        <v>523</v>
      </c>
      <c r="J287" s="218"/>
      <c r="K287" s="218"/>
      <c r="L287" s="218"/>
      <c r="M287" s="219"/>
      <c r="N287" s="219"/>
      <c r="O287" s="219"/>
      <c r="P287" s="218"/>
      <c r="Q287" s="243" t="b">
        <f t="shared" ref="Q287:Q325" si="20">IF(COUNTA(J287:P287)=0,FALSE,TRUE)</f>
        <v>0</v>
      </c>
      <c r="R287" s="208">
        <f t="shared" si="17"/>
        <v>0</v>
      </c>
    </row>
    <row r="288" spans="1:18" x14ac:dyDescent="0.3">
      <c r="A288" s="124">
        <v>11</v>
      </c>
      <c r="B288" s="37" t="s">
        <v>593</v>
      </c>
      <c r="C288" s="38">
        <v>2</v>
      </c>
      <c r="D288" s="125" t="s">
        <v>57</v>
      </c>
      <c r="E288" s="123" t="s">
        <v>595</v>
      </c>
      <c r="F288" s="131"/>
      <c r="G288" s="128" t="s">
        <v>53</v>
      </c>
      <c r="H288" s="154" t="s">
        <v>518</v>
      </c>
      <c r="I288" s="155" t="s">
        <v>523</v>
      </c>
      <c r="J288" s="212"/>
      <c r="K288" s="212"/>
      <c r="L288" s="212"/>
      <c r="M288" s="213"/>
      <c r="N288" s="213"/>
      <c r="O288" s="213"/>
      <c r="P288" s="212"/>
      <c r="Q288" s="106" t="b">
        <f t="shared" si="20"/>
        <v>0</v>
      </c>
      <c r="R288" s="199">
        <f t="shared" si="17"/>
        <v>0</v>
      </c>
    </row>
    <row r="289" spans="1:18" x14ac:dyDescent="0.3">
      <c r="A289" s="124">
        <v>11</v>
      </c>
      <c r="B289" s="37" t="s">
        <v>593</v>
      </c>
      <c r="C289" s="38">
        <v>3</v>
      </c>
      <c r="D289" s="125" t="s">
        <v>583</v>
      </c>
      <c r="E289" s="123" t="s">
        <v>596</v>
      </c>
      <c r="F289" s="126" t="s">
        <v>52</v>
      </c>
      <c r="G289" s="131"/>
      <c r="H289" s="122" t="s">
        <v>518</v>
      </c>
      <c r="I289" s="123" t="s">
        <v>523</v>
      </c>
      <c r="J289" s="212"/>
      <c r="K289" s="212"/>
      <c r="L289" s="212"/>
      <c r="M289" s="213"/>
      <c r="N289" s="213"/>
      <c r="O289" s="213"/>
      <c r="P289" s="212"/>
      <c r="Q289" s="106" t="b">
        <f t="shared" si="20"/>
        <v>0</v>
      </c>
      <c r="R289" s="199">
        <f t="shared" si="17"/>
        <v>0</v>
      </c>
    </row>
    <row r="290" spans="1:18" x14ac:dyDescent="0.3">
      <c r="A290" s="124">
        <v>11</v>
      </c>
      <c r="B290" s="37" t="s">
        <v>593</v>
      </c>
      <c r="C290" s="38">
        <v>4</v>
      </c>
      <c r="D290" s="125" t="s">
        <v>584</v>
      </c>
      <c r="E290" s="123" t="s">
        <v>597</v>
      </c>
      <c r="F290" s="131"/>
      <c r="G290" s="128" t="s">
        <v>53</v>
      </c>
      <c r="H290" s="154" t="s">
        <v>518</v>
      </c>
      <c r="I290" s="155" t="s">
        <v>523</v>
      </c>
      <c r="J290" s="212"/>
      <c r="K290" s="212"/>
      <c r="L290" s="212"/>
      <c r="M290" s="213"/>
      <c r="N290" s="213"/>
      <c r="O290" s="213"/>
      <c r="P290" s="212"/>
      <c r="Q290" s="106" t="b">
        <f t="shared" si="20"/>
        <v>0</v>
      </c>
      <c r="R290" s="199">
        <f t="shared" si="17"/>
        <v>0</v>
      </c>
    </row>
    <row r="291" spans="1:18" x14ac:dyDescent="0.3">
      <c r="A291" s="124">
        <v>11</v>
      </c>
      <c r="B291" s="37" t="s">
        <v>593</v>
      </c>
      <c r="C291" s="38">
        <v>5</v>
      </c>
      <c r="D291" s="125" t="s">
        <v>65</v>
      </c>
      <c r="E291" s="123" t="s">
        <v>598</v>
      </c>
      <c r="F291" s="131"/>
      <c r="G291" s="128" t="s">
        <v>53</v>
      </c>
      <c r="H291" s="154" t="s">
        <v>518</v>
      </c>
      <c r="I291" s="155" t="s">
        <v>523</v>
      </c>
      <c r="J291" s="212"/>
      <c r="K291" s="212"/>
      <c r="L291" s="212"/>
      <c r="M291" s="213"/>
      <c r="N291" s="213"/>
      <c r="O291" s="213"/>
      <c r="P291" s="212"/>
      <c r="Q291" s="106" t="b">
        <f t="shared" si="20"/>
        <v>0</v>
      </c>
      <c r="R291" s="199">
        <f t="shared" si="17"/>
        <v>0</v>
      </c>
    </row>
    <row r="292" spans="1:18" x14ac:dyDescent="0.3">
      <c r="A292" s="124">
        <v>11</v>
      </c>
      <c r="B292" s="37" t="s">
        <v>593</v>
      </c>
      <c r="C292" s="38">
        <v>6</v>
      </c>
      <c r="D292" s="125" t="s">
        <v>585</v>
      </c>
      <c r="E292" s="123" t="s">
        <v>599</v>
      </c>
      <c r="F292" s="131"/>
      <c r="G292" s="128" t="s">
        <v>53</v>
      </c>
      <c r="H292" s="154" t="s">
        <v>518</v>
      </c>
      <c r="I292" s="155" t="s">
        <v>523</v>
      </c>
      <c r="J292" s="212"/>
      <c r="K292" s="212"/>
      <c r="L292" s="212"/>
      <c r="M292" s="213"/>
      <c r="N292" s="213"/>
      <c r="O292" s="213"/>
      <c r="P292" s="212"/>
      <c r="Q292" s="106" t="b">
        <f t="shared" si="20"/>
        <v>0</v>
      </c>
      <c r="R292" s="199">
        <f t="shared" si="17"/>
        <v>0</v>
      </c>
    </row>
    <row r="293" spans="1:18" x14ac:dyDescent="0.3">
      <c r="A293" s="124">
        <v>11</v>
      </c>
      <c r="B293" s="37" t="s">
        <v>593</v>
      </c>
      <c r="C293" s="38">
        <v>7</v>
      </c>
      <c r="D293" s="125" t="s">
        <v>586</v>
      </c>
      <c r="E293" s="123" t="s">
        <v>600</v>
      </c>
      <c r="F293" s="126" t="s">
        <v>52</v>
      </c>
      <c r="G293" s="131"/>
      <c r="H293" s="122" t="s">
        <v>519</v>
      </c>
      <c r="I293" s="123" t="s">
        <v>610</v>
      </c>
      <c r="J293" s="212"/>
      <c r="K293" s="212"/>
      <c r="L293" s="212"/>
      <c r="M293" s="213"/>
      <c r="N293" s="213"/>
      <c r="O293" s="213"/>
      <c r="P293" s="212"/>
      <c r="Q293" s="106" t="b">
        <f t="shared" si="20"/>
        <v>0</v>
      </c>
      <c r="R293" s="199">
        <f t="shared" si="17"/>
        <v>0</v>
      </c>
    </row>
    <row r="294" spans="1:18" x14ac:dyDescent="0.3">
      <c r="A294" s="124">
        <v>11</v>
      </c>
      <c r="B294" s="37" t="s">
        <v>593</v>
      </c>
      <c r="C294" s="38">
        <v>8</v>
      </c>
      <c r="D294" s="125" t="s">
        <v>587</v>
      </c>
      <c r="E294" s="123" t="s">
        <v>601</v>
      </c>
      <c r="F294" s="131"/>
      <c r="G294" s="128" t="s">
        <v>53</v>
      </c>
      <c r="H294" s="154" t="s">
        <v>519</v>
      </c>
      <c r="I294" s="155" t="s">
        <v>610</v>
      </c>
      <c r="J294" s="212"/>
      <c r="K294" s="212"/>
      <c r="L294" s="212"/>
      <c r="M294" s="213"/>
      <c r="N294" s="213"/>
      <c r="O294" s="213"/>
      <c r="P294" s="212"/>
      <c r="Q294" s="106" t="b">
        <f t="shared" si="20"/>
        <v>0</v>
      </c>
      <c r="R294" s="199">
        <f t="shared" si="17"/>
        <v>0</v>
      </c>
    </row>
    <row r="295" spans="1:18" x14ac:dyDescent="0.3">
      <c r="A295" s="124">
        <v>11</v>
      </c>
      <c r="B295" s="37" t="s">
        <v>593</v>
      </c>
      <c r="C295" s="38">
        <v>9</v>
      </c>
      <c r="D295" s="125" t="s">
        <v>588</v>
      </c>
      <c r="E295" s="123" t="s">
        <v>602</v>
      </c>
      <c r="F295" s="131"/>
      <c r="G295" s="128" t="s">
        <v>53</v>
      </c>
      <c r="H295" s="154" t="s">
        <v>609</v>
      </c>
      <c r="I295" s="155" t="s">
        <v>608</v>
      </c>
      <c r="J295" s="212"/>
      <c r="K295" s="212"/>
      <c r="L295" s="212"/>
      <c r="M295" s="213"/>
      <c r="N295" s="213"/>
      <c r="O295" s="213"/>
      <c r="P295" s="212"/>
      <c r="Q295" s="106" t="b">
        <f t="shared" si="20"/>
        <v>0</v>
      </c>
      <c r="R295" s="199">
        <f t="shared" si="17"/>
        <v>0</v>
      </c>
    </row>
    <row r="296" spans="1:18" x14ac:dyDescent="0.3">
      <c r="A296" s="124">
        <v>11</v>
      </c>
      <c r="B296" s="37" t="s">
        <v>593</v>
      </c>
      <c r="C296" s="38">
        <v>10</v>
      </c>
      <c r="D296" s="181" t="s">
        <v>43</v>
      </c>
      <c r="E296" s="123" t="s">
        <v>603</v>
      </c>
      <c r="F296" s="126" t="s">
        <v>52</v>
      </c>
      <c r="G296" s="131"/>
      <c r="H296" s="122" t="s">
        <v>519</v>
      </c>
      <c r="I296" s="123" t="s">
        <v>610</v>
      </c>
      <c r="J296" s="212" t="s">
        <v>1383</v>
      </c>
      <c r="K296" s="212"/>
      <c r="L296" s="212"/>
      <c r="M296" s="213"/>
      <c r="N296" s="212" t="s">
        <v>1383</v>
      </c>
      <c r="O296" s="212"/>
      <c r="P296" s="212" t="s">
        <v>1383</v>
      </c>
      <c r="Q296" s="106" t="b">
        <f t="shared" si="20"/>
        <v>1</v>
      </c>
      <c r="R296" s="199">
        <f t="shared" si="17"/>
        <v>3</v>
      </c>
    </row>
    <row r="297" spans="1:18" x14ac:dyDescent="0.3">
      <c r="A297" s="124">
        <v>11</v>
      </c>
      <c r="B297" s="37" t="s">
        <v>593</v>
      </c>
      <c r="C297" s="38">
        <v>11</v>
      </c>
      <c r="D297" s="125" t="s">
        <v>589</v>
      </c>
      <c r="E297" s="123" t="s">
        <v>604</v>
      </c>
      <c r="F297" s="131"/>
      <c r="G297" s="128" t="s">
        <v>53</v>
      </c>
      <c r="H297" s="154" t="s">
        <v>518</v>
      </c>
      <c r="I297" s="155" t="s">
        <v>523</v>
      </c>
      <c r="J297" s="212"/>
      <c r="K297" s="212"/>
      <c r="L297" s="212"/>
      <c r="M297" s="213"/>
      <c r="N297" s="213"/>
      <c r="O297" s="213"/>
      <c r="P297" s="212"/>
      <c r="Q297" s="106" t="b">
        <f t="shared" si="20"/>
        <v>0</v>
      </c>
      <c r="R297" s="199">
        <f t="shared" si="17"/>
        <v>0</v>
      </c>
    </row>
    <row r="298" spans="1:18" x14ac:dyDescent="0.3">
      <c r="A298" s="124">
        <v>11</v>
      </c>
      <c r="B298" s="37" t="s">
        <v>593</v>
      </c>
      <c r="C298" s="38">
        <v>12</v>
      </c>
      <c r="D298" s="125" t="s">
        <v>590</v>
      </c>
      <c r="E298" s="123" t="s">
        <v>605</v>
      </c>
      <c r="F298" s="131"/>
      <c r="G298" s="128" t="s">
        <v>53</v>
      </c>
      <c r="H298" s="154" t="s">
        <v>518</v>
      </c>
      <c r="I298" s="155" t="s">
        <v>523</v>
      </c>
      <c r="J298" s="212"/>
      <c r="K298" s="212"/>
      <c r="L298" s="212"/>
      <c r="M298" s="213"/>
      <c r="N298" s="213"/>
      <c r="O298" s="213"/>
      <c r="P298" s="212"/>
      <c r="Q298" s="106" t="b">
        <f t="shared" si="20"/>
        <v>0</v>
      </c>
      <c r="R298" s="199">
        <f t="shared" si="17"/>
        <v>0</v>
      </c>
    </row>
    <row r="299" spans="1:18" x14ac:dyDescent="0.3">
      <c r="A299" s="124">
        <v>11</v>
      </c>
      <c r="B299" s="37" t="s">
        <v>593</v>
      </c>
      <c r="C299" s="38">
        <v>13</v>
      </c>
      <c r="D299" s="125" t="s">
        <v>591</v>
      </c>
      <c r="E299" s="123" t="s">
        <v>606</v>
      </c>
      <c r="F299" s="131"/>
      <c r="G299" s="128" t="s">
        <v>53</v>
      </c>
      <c r="H299" s="154" t="s">
        <v>609</v>
      </c>
      <c r="I299" s="155" t="s">
        <v>608</v>
      </c>
      <c r="J299" s="212"/>
      <c r="K299" s="212"/>
      <c r="L299" s="212"/>
      <c r="M299" s="213"/>
      <c r="N299" s="213"/>
      <c r="O299" s="213"/>
      <c r="P299" s="212"/>
      <c r="Q299" s="106" t="b">
        <f t="shared" si="20"/>
        <v>0</v>
      </c>
      <c r="R299" s="199">
        <f t="shared" si="17"/>
        <v>0</v>
      </c>
    </row>
    <row r="300" spans="1:18" ht="19.5" thickBot="1" x14ac:dyDescent="0.35">
      <c r="A300" s="132">
        <v>11</v>
      </c>
      <c r="B300" s="39" t="s">
        <v>593</v>
      </c>
      <c r="C300" s="45">
        <v>14</v>
      </c>
      <c r="D300" s="156" t="s">
        <v>592</v>
      </c>
      <c r="E300" s="159" t="s">
        <v>607</v>
      </c>
      <c r="F300" s="157" t="s">
        <v>52</v>
      </c>
      <c r="G300" s="174"/>
      <c r="H300" s="158" t="s">
        <v>519</v>
      </c>
      <c r="I300" s="159" t="s">
        <v>610</v>
      </c>
      <c r="J300" s="221"/>
      <c r="K300" s="221"/>
      <c r="L300" s="221" t="s">
        <v>1383</v>
      </c>
      <c r="M300" s="222"/>
      <c r="N300" s="222"/>
      <c r="O300" s="222"/>
      <c r="P300" s="221"/>
      <c r="Q300" s="244" t="b">
        <f t="shared" si="20"/>
        <v>1</v>
      </c>
      <c r="R300" s="202">
        <f t="shared" si="17"/>
        <v>1</v>
      </c>
    </row>
    <row r="301" spans="1:18" ht="19.5" hidden="1" thickBot="1" x14ac:dyDescent="0.3">
      <c r="A301" s="137">
        <f>A300</f>
        <v>11</v>
      </c>
      <c r="B301" s="138" t="str">
        <f>B300</f>
        <v>LAKEWOOD</v>
      </c>
      <c r="C301" s="15">
        <f>COUNTA(C287:C300)</f>
        <v>14</v>
      </c>
      <c r="D301" s="139" t="s">
        <v>1</v>
      </c>
      <c r="E301" s="139" t="s">
        <v>1374</v>
      </c>
      <c r="F301" s="15">
        <f>COUNTA(F287:F300)</f>
        <v>4</v>
      </c>
      <c r="G301" s="15">
        <f>COUNTA(G287:G300)</f>
        <v>10</v>
      </c>
      <c r="H301" s="291" t="s">
        <v>3</v>
      </c>
      <c r="I301" s="292"/>
      <c r="J301" s="15">
        <f t="shared" ref="J301:P301" si="21">COUNTA(J287:J300)</f>
        <v>1</v>
      </c>
      <c r="K301" s="15">
        <f t="shared" si="21"/>
        <v>0</v>
      </c>
      <c r="L301" s="15">
        <f t="shared" si="21"/>
        <v>1</v>
      </c>
      <c r="M301" s="15">
        <f t="shared" si="21"/>
        <v>0</v>
      </c>
      <c r="N301" s="15">
        <f t="shared" si="21"/>
        <v>1</v>
      </c>
      <c r="O301" s="15">
        <f t="shared" si="21"/>
        <v>0</v>
      </c>
      <c r="P301" s="15">
        <f t="shared" si="21"/>
        <v>1</v>
      </c>
      <c r="Q301" s="22">
        <f>COUNTIF(Q287:Q300,TRUE)</f>
        <v>2</v>
      </c>
      <c r="R301" s="249">
        <f>SUM(J301:P301)</f>
        <v>4</v>
      </c>
    </row>
    <row r="302" spans="1:18" x14ac:dyDescent="0.3">
      <c r="A302" s="140">
        <v>12</v>
      </c>
      <c r="B302" s="36" t="s">
        <v>630</v>
      </c>
      <c r="C302" s="46">
        <v>1</v>
      </c>
      <c r="D302" s="166" t="s">
        <v>611</v>
      </c>
      <c r="E302" s="144" t="s">
        <v>634</v>
      </c>
      <c r="F302" s="165"/>
      <c r="G302" s="250" t="s">
        <v>53</v>
      </c>
      <c r="H302" s="172" t="s">
        <v>661</v>
      </c>
      <c r="I302" s="173" t="s">
        <v>660</v>
      </c>
      <c r="J302" s="209"/>
      <c r="K302" s="209"/>
      <c r="L302" s="209"/>
      <c r="M302" s="210"/>
      <c r="N302" s="210"/>
      <c r="O302" s="210"/>
      <c r="P302" s="209"/>
      <c r="Q302" s="106" t="b">
        <f t="shared" si="20"/>
        <v>0</v>
      </c>
      <c r="R302" s="196">
        <f t="shared" si="17"/>
        <v>0</v>
      </c>
    </row>
    <row r="303" spans="1:18" x14ac:dyDescent="0.3">
      <c r="A303" s="124">
        <v>12</v>
      </c>
      <c r="B303" s="37" t="s">
        <v>630</v>
      </c>
      <c r="C303" s="38">
        <v>2</v>
      </c>
      <c r="D303" s="125" t="s">
        <v>631</v>
      </c>
      <c r="E303" s="123" t="s">
        <v>635</v>
      </c>
      <c r="F303" s="131"/>
      <c r="G303" s="128" t="s">
        <v>53</v>
      </c>
      <c r="H303" s="154" t="s">
        <v>661</v>
      </c>
      <c r="I303" s="155" t="s">
        <v>660</v>
      </c>
      <c r="J303" s="212"/>
      <c r="K303" s="212"/>
      <c r="L303" s="212"/>
      <c r="M303" s="213"/>
      <c r="N303" s="213"/>
      <c r="O303" s="213"/>
      <c r="P303" s="212"/>
      <c r="Q303" s="106" t="b">
        <f t="shared" si="20"/>
        <v>0</v>
      </c>
      <c r="R303" s="199">
        <f t="shared" si="17"/>
        <v>0</v>
      </c>
    </row>
    <row r="304" spans="1:18" x14ac:dyDescent="0.3">
      <c r="A304" s="124">
        <v>12</v>
      </c>
      <c r="B304" s="37" t="s">
        <v>630</v>
      </c>
      <c r="C304" s="38">
        <v>3</v>
      </c>
      <c r="D304" s="125" t="s">
        <v>612</v>
      </c>
      <c r="E304" s="123" t="s">
        <v>636</v>
      </c>
      <c r="F304" s="126" t="s">
        <v>52</v>
      </c>
      <c r="G304" s="131"/>
      <c r="H304" s="122" t="s">
        <v>521</v>
      </c>
      <c r="I304" s="123" t="s">
        <v>525</v>
      </c>
      <c r="J304" s="212"/>
      <c r="K304" s="212"/>
      <c r="L304" s="212"/>
      <c r="M304" s="213"/>
      <c r="N304" s="213"/>
      <c r="O304" s="213"/>
      <c r="P304" s="212"/>
      <c r="Q304" s="106" t="b">
        <f t="shared" si="20"/>
        <v>0</v>
      </c>
      <c r="R304" s="199">
        <f t="shared" si="17"/>
        <v>0</v>
      </c>
    </row>
    <row r="305" spans="1:18" x14ac:dyDescent="0.3">
      <c r="A305" s="124">
        <v>12</v>
      </c>
      <c r="B305" s="37" t="s">
        <v>630</v>
      </c>
      <c r="C305" s="38">
        <v>4</v>
      </c>
      <c r="D305" s="125" t="s">
        <v>613</v>
      </c>
      <c r="E305" s="123" t="s">
        <v>637</v>
      </c>
      <c r="F305" s="126" t="s">
        <v>52</v>
      </c>
      <c r="G305" s="131"/>
      <c r="H305" s="122" t="s">
        <v>521</v>
      </c>
      <c r="I305" s="123" t="s">
        <v>525</v>
      </c>
      <c r="J305" s="212"/>
      <c r="K305" s="212"/>
      <c r="L305" s="212"/>
      <c r="M305" s="213"/>
      <c r="N305" s="213"/>
      <c r="O305" s="213"/>
      <c r="P305" s="212"/>
      <c r="Q305" s="106" t="b">
        <f t="shared" si="20"/>
        <v>0</v>
      </c>
      <c r="R305" s="199">
        <f t="shared" si="17"/>
        <v>0</v>
      </c>
    </row>
    <row r="306" spans="1:18" x14ac:dyDescent="0.3">
      <c r="A306" s="124">
        <v>12</v>
      </c>
      <c r="B306" s="37" t="s">
        <v>630</v>
      </c>
      <c r="C306" s="38">
        <v>5</v>
      </c>
      <c r="D306" s="125" t="s">
        <v>614</v>
      </c>
      <c r="E306" s="123" t="s">
        <v>638</v>
      </c>
      <c r="F306" s="126" t="s">
        <v>52</v>
      </c>
      <c r="G306" s="131"/>
      <c r="H306" s="142" t="s">
        <v>520</v>
      </c>
      <c r="I306" s="123" t="s">
        <v>526</v>
      </c>
      <c r="J306" s="212"/>
      <c r="K306" s="212"/>
      <c r="L306" s="212"/>
      <c r="M306" s="213"/>
      <c r="N306" s="213"/>
      <c r="O306" s="213"/>
      <c r="P306" s="212"/>
      <c r="Q306" s="106" t="b">
        <f t="shared" si="20"/>
        <v>0</v>
      </c>
      <c r="R306" s="199">
        <f t="shared" si="17"/>
        <v>0</v>
      </c>
    </row>
    <row r="307" spans="1:18" x14ac:dyDescent="0.3">
      <c r="A307" s="124">
        <v>12</v>
      </c>
      <c r="B307" s="37" t="s">
        <v>630</v>
      </c>
      <c r="C307" s="38">
        <v>6</v>
      </c>
      <c r="D307" s="125" t="s">
        <v>632</v>
      </c>
      <c r="E307" s="123" t="s">
        <v>639</v>
      </c>
      <c r="F307" s="131"/>
      <c r="G307" s="128" t="s">
        <v>53</v>
      </c>
      <c r="H307" s="154" t="s">
        <v>661</v>
      </c>
      <c r="I307" s="155" t="s">
        <v>660</v>
      </c>
      <c r="J307" s="212"/>
      <c r="K307" s="212"/>
      <c r="L307" s="212"/>
      <c r="M307" s="213"/>
      <c r="N307" s="213"/>
      <c r="O307" s="213"/>
      <c r="P307" s="212"/>
      <c r="Q307" s="106" t="b">
        <f t="shared" si="20"/>
        <v>0</v>
      </c>
      <c r="R307" s="199">
        <f t="shared" si="17"/>
        <v>0</v>
      </c>
    </row>
    <row r="308" spans="1:18" x14ac:dyDescent="0.3">
      <c r="A308" s="124">
        <v>12</v>
      </c>
      <c r="B308" s="37" t="s">
        <v>630</v>
      </c>
      <c r="C308" s="38">
        <v>7</v>
      </c>
      <c r="D308" s="125" t="s">
        <v>615</v>
      </c>
      <c r="E308" s="123" t="s">
        <v>640</v>
      </c>
      <c r="F308" s="126" t="s">
        <v>52</v>
      </c>
      <c r="G308" s="131"/>
      <c r="H308" s="142" t="s">
        <v>520</v>
      </c>
      <c r="I308" s="123" t="s">
        <v>526</v>
      </c>
      <c r="J308" s="212"/>
      <c r="K308" s="212"/>
      <c r="L308" s="212"/>
      <c r="M308" s="213"/>
      <c r="N308" s="213"/>
      <c r="O308" s="213"/>
      <c r="P308" s="212"/>
      <c r="Q308" s="106" t="b">
        <f t="shared" si="20"/>
        <v>0</v>
      </c>
      <c r="R308" s="199">
        <f t="shared" si="17"/>
        <v>0</v>
      </c>
    </row>
    <row r="309" spans="1:18" x14ac:dyDescent="0.3">
      <c r="A309" s="124">
        <v>12</v>
      </c>
      <c r="B309" s="37" t="s">
        <v>630</v>
      </c>
      <c r="C309" s="38">
        <v>8</v>
      </c>
      <c r="D309" s="125" t="s">
        <v>616</v>
      </c>
      <c r="E309" s="123" t="s">
        <v>641</v>
      </c>
      <c r="F309" s="131"/>
      <c r="G309" s="128" t="s">
        <v>53</v>
      </c>
      <c r="H309" s="154" t="s">
        <v>661</v>
      </c>
      <c r="I309" s="155" t="s">
        <v>660</v>
      </c>
      <c r="J309" s="212"/>
      <c r="K309" s="212"/>
      <c r="L309" s="212"/>
      <c r="M309" s="213"/>
      <c r="N309" s="213"/>
      <c r="O309" s="213"/>
      <c r="P309" s="212"/>
      <c r="Q309" s="106" t="b">
        <f t="shared" si="20"/>
        <v>0</v>
      </c>
      <c r="R309" s="199">
        <f t="shared" si="17"/>
        <v>0</v>
      </c>
    </row>
    <row r="310" spans="1:18" x14ac:dyDescent="0.3">
      <c r="A310" s="124">
        <v>12</v>
      </c>
      <c r="B310" s="37" t="s">
        <v>630</v>
      </c>
      <c r="C310" s="38">
        <v>9</v>
      </c>
      <c r="D310" s="125" t="s">
        <v>617</v>
      </c>
      <c r="E310" s="123" t="s">
        <v>642</v>
      </c>
      <c r="F310" s="126" t="s">
        <v>52</v>
      </c>
      <c r="G310" s="131"/>
      <c r="H310" s="122" t="s">
        <v>521</v>
      </c>
      <c r="I310" s="123" t="s">
        <v>525</v>
      </c>
      <c r="J310" s="212"/>
      <c r="K310" s="212"/>
      <c r="L310" s="212"/>
      <c r="M310" s="213"/>
      <c r="N310" s="213"/>
      <c r="O310" s="213"/>
      <c r="P310" s="212"/>
      <c r="Q310" s="106" t="b">
        <f t="shared" si="20"/>
        <v>0</v>
      </c>
      <c r="R310" s="199">
        <f t="shared" si="17"/>
        <v>0</v>
      </c>
    </row>
    <row r="311" spans="1:18" x14ac:dyDescent="0.3">
      <c r="A311" s="124">
        <v>12</v>
      </c>
      <c r="B311" s="37" t="s">
        <v>630</v>
      </c>
      <c r="C311" s="38">
        <v>10</v>
      </c>
      <c r="D311" s="125" t="s">
        <v>618</v>
      </c>
      <c r="E311" s="123" t="s">
        <v>643</v>
      </c>
      <c r="F311" s="126" t="s">
        <v>52</v>
      </c>
      <c r="G311" s="131"/>
      <c r="H311" s="142" t="s">
        <v>520</v>
      </c>
      <c r="I311" s="123" t="s">
        <v>526</v>
      </c>
      <c r="J311" s="212"/>
      <c r="K311" s="212"/>
      <c r="L311" s="212"/>
      <c r="M311" s="213"/>
      <c r="N311" s="213"/>
      <c r="O311" s="213"/>
      <c r="P311" s="212"/>
      <c r="Q311" s="106" t="b">
        <f t="shared" si="20"/>
        <v>0</v>
      </c>
      <c r="R311" s="199">
        <f t="shared" si="17"/>
        <v>0</v>
      </c>
    </row>
    <row r="312" spans="1:18" x14ac:dyDescent="0.3">
      <c r="A312" s="124">
        <v>12</v>
      </c>
      <c r="B312" s="37" t="s">
        <v>630</v>
      </c>
      <c r="C312" s="38">
        <v>11</v>
      </c>
      <c r="D312" s="125" t="s">
        <v>197</v>
      </c>
      <c r="E312" s="123" t="s">
        <v>644</v>
      </c>
      <c r="F312" s="131"/>
      <c r="G312" s="128" t="s">
        <v>53</v>
      </c>
      <c r="H312" s="154" t="s">
        <v>661</v>
      </c>
      <c r="I312" s="155" t="s">
        <v>660</v>
      </c>
      <c r="J312" s="212"/>
      <c r="K312" s="212"/>
      <c r="L312" s="212"/>
      <c r="M312" s="213"/>
      <c r="N312" s="213"/>
      <c r="O312" s="213"/>
      <c r="P312" s="212"/>
      <c r="Q312" s="106" t="b">
        <f t="shared" si="20"/>
        <v>0</v>
      </c>
      <c r="R312" s="199">
        <f t="shared" si="17"/>
        <v>0</v>
      </c>
    </row>
    <row r="313" spans="1:18" x14ac:dyDescent="0.3">
      <c r="A313" s="124">
        <v>12</v>
      </c>
      <c r="B313" s="37" t="s">
        <v>630</v>
      </c>
      <c r="C313" s="38">
        <v>12</v>
      </c>
      <c r="D313" s="125" t="s">
        <v>619</v>
      </c>
      <c r="E313" s="123" t="s">
        <v>645</v>
      </c>
      <c r="F313" s="126" t="s">
        <v>52</v>
      </c>
      <c r="G313" s="131"/>
      <c r="H313" s="142" t="s">
        <v>520</v>
      </c>
      <c r="I313" s="123" t="s">
        <v>526</v>
      </c>
      <c r="J313" s="212"/>
      <c r="K313" s="212"/>
      <c r="L313" s="212"/>
      <c r="M313" s="213"/>
      <c r="N313" s="213"/>
      <c r="O313" s="213"/>
      <c r="P313" s="212"/>
      <c r="Q313" s="106" t="b">
        <f t="shared" si="20"/>
        <v>0</v>
      </c>
      <c r="R313" s="199">
        <f t="shared" si="17"/>
        <v>0</v>
      </c>
    </row>
    <row r="314" spans="1:18" x14ac:dyDescent="0.3">
      <c r="A314" s="124">
        <v>12</v>
      </c>
      <c r="B314" s="37" t="s">
        <v>630</v>
      </c>
      <c r="C314" s="38">
        <v>13</v>
      </c>
      <c r="D314" s="125" t="s">
        <v>620</v>
      </c>
      <c r="E314" s="123" t="s">
        <v>646</v>
      </c>
      <c r="F314" s="126" t="s">
        <v>52</v>
      </c>
      <c r="G314" s="131"/>
      <c r="H314" s="122" t="s">
        <v>522</v>
      </c>
      <c r="I314" s="123" t="s">
        <v>526</v>
      </c>
      <c r="J314" s="212"/>
      <c r="K314" s="212"/>
      <c r="L314" s="212"/>
      <c r="M314" s="213"/>
      <c r="N314" s="213"/>
      <c r="O314" s="213"/>
      <c r="P314" s="212"/>
      <c r="Q314" s="106" t="b">
        <f t="shared" si="20"/>
        <v>0</v>
      </c>
      <c r="R314" s="199">
        <f t="shared" si="17"/>
        <v>0</v>
      </c>
    </row>
    <row r="315" spans="1:18" x14ac:dyDescent="0.3">
      <c r="A315" s="124">
        <v>12</v>
      </c>
      <c r="B315" s="37" t="s">
        <v>630</v>
      </c>
      <c r="C315" s="38">
        <v>14</v>
      </c>
      <c r="D315" s="125" t="s">
        <v>621</v>
      </c>
      <c r="E315" s="123" t="s">
        <v>647</v>
      </c>
      <c r="F315" s="126" t="s">
        <v>52</v>
      </c>
      <c r="G315" s="131"/>
      <c r="H315" s="122" t="s">
        <v>521</v>
      </c>
      <c r="I315" s="123" t="s">
        <v>525</v>
      </c>
      <c r="J315" s="212"/>
      <c r="K315" s="212"/>
      <c r="L315" s="212"/>
      <c r="M315" s="213"/>
      <c r="N315" s="213"/>
      <c r="O315" s="213"/>
      <c r="P315" s="212"/>
      <c r="Q315" s="106" t="b">
        <f t="shared" si="20"/>
        <v>0</v>
      </c>
      <c r="R315" s="199">
        <f t="shared" si="17"/>
        <v>0</v>
      </c>
    </row>
    <row r="316" spans="1:18" x14ac:dyDescent="0.3">
      <c r="A316" s="124">
        <v>12</v>
      </c>
      <c r="B316" s="37" t="s">
        <v>630</v>
      </c>
      <c r="C316" s="38">
        <v>15</v>
      </c>
      <c r="D316" s="125" t="s">
        <v>156</v>
      </c>
      <c r="E316" s="123" t="s">
        <v>648</v>
      </c>
      <c r="F316" s="126" t="s">
        <v>52</v>
      </c>
      <c r="G316" s="131"/>
      <c r="H316" s="122" t="s">
        <v>521</v>
      </c>
      <c r="I316" s="123" t="s">
        <v>525</v>
      </c>
      <c r="J316" s="212"/>
      <c r="K316" s="212"/>
      <c r="L316" s="212"/>
      <c r="M316" s="213"/>
      <c r="N316" s="213"/>
      <c r="O316" s="213"/>
      <c r="P316" s="212"/>
      <c r="Q316" s="106" t="b">
        <f t="shared" si="20"/>
        <v>0</v>
      </c>
      <c r="R316" s="199">
        <f t="shared" si="17"/>
        <v>0</v>
      </c>
    </row>
    <row r="317" spans="1:18" x14ac:dyDescent="0.3">
      <c r="A317" s="124">
        <v>12</v>
      </c>
      <c r="B317" s="37" t="s">
        <v>630</v>
      </c>
      <c r="C317" s="38">
        <v>16</v>
      </c>
      <c r="D317" s="125" t="s">
        <v>622</v>
      </c>
      <c r="E317" s="123" t="s">
        <v>649</v>
      </c>
      <c r="F317" s="126" t="s">
        <v>52</v>
      </c>
      <c r="G317" s="131"/>
      <c r="H317" s="142" t="s">
        <v>520</v>
      </c>
      <c r="I317" s="123" t="s">
        <v>526</v>
      </c>
      <c r="J317" s="212"/>
      <c r="K317" s="212"/>
      <c r="L317" s="212"/>
      <c r="M317" s="213"/>
      <c r="N317" s="213"/>
      <c r="O317" s="213"/>
      <c r="P317" s="212"/>
      <c r="Q317" s="106" t="b">
        <f t="shared" si="20"/>
        <v>0</v>
      </c>
      <c r="R317" s="199">
        <f t="shared" si="17"/>
        <v>0</v>
      </c>
    </row>
    <row r="318" spans="1:18" x14ac:dyDescent="0.3">
      <c r="A318" s="124">
        <v>12</v>
      </c>
      <c r="B318" s="37" t="s">
        <v>630</v>
      </c>
      <c r="C318" s="38">
        <v>17</v>
      </c>
      <c r="D318" s="125" t="s">
        <v>43</v>
      </c>
      <c r="E318" s="123" t="s">
        <v>650</v>
      </c>
      <c r="F318" s="126" t="s">
        <v>52</v>
      </c>
      <c r="G318" s="131"/>
      <c r="H318" s="122" t="s">
        <v>521</v>
      </c>
      <c r="I318" s="123" t="s">
        <v>525</v>
      </c>
      <c r="J318" s="212"/>
      <c r="K318" s="212"/>
      <c r="L318" s="212"/>
      <c r="M318" s="213"/>
      <c r="N318" s="213"/>
      <c r="O318" s="213"/>
      <c r="P318" s="212"/>
      <c r="Q318" s="106" t="b">
        <f t="shared" si="20"/>
        <v>0</v>
      </c>
      <c r="R318" s="199">
        <f t="shared" si="17"/>
        <v>0</v>
      </c>
    </row>
    <row r="319" spans="1:18" x14ac:dyDescent="0.3">
      <c r="A319" s="124">
        <v>12</v>
      </c>
      <c r="B319" s="37" t="s">
        <v>630</v>
      </c>
      <c r="C319" s="38">
        <v>18</v>
      </c>
      <c r="D319" s="125" t="s">
        <v>623</v>
      </c>
      <c r="E319" s="123" t="s">
        <v>651</v>
      </c>
      <c r="F319" s="126" t="s">
        <v>52</v>
      </c>
      <c r="G319" s="131"/>
      <c r="H319" s="122" t="s">
        <v>521</v>
      </c>
      <c r="I319" s="123" t="s">
        <v>525</v>
      </c>
      <c r="J319" s="212"/>
      <c r="K319" s="212"/>
      <c r="L319" s="212"/>
      <c r="M319" s="213"/>
      <c r="N319" s="213"/>
      <c r="O319" s="213"/>
      <c r="P319" s="212"/>
      <c r="Q319" s="106" t="b">
        <f t="shared" si="20"/>
        <v>0</v>
      </c>
      <c r="R319" s="199">
        <f t="shared" si="17"/>
        <v>0</v>
      </c>
    </row>
    <row r="320" spans="1:18" x14ac:dyDescent="0.3">
      <c r="A320" s="124">
        <v>12</v>
      </c>
      <c r="B320" s="37" t="s">
        <v>630</v>
      </c>
      <c r="C320" s="38">
        <v>19</v>
      </c>
      <c r="D320" s="125" t="s">
        <v>46</v>
      </c>
      <c r="E320" s="123" t="s">
        <v>652</v>
      </c>
      <c r="F320" s="126" t="s">
        <v>52</v>
      </c>
      <c r="G320" s="131"/>
      <c r="H320" s="142" t="s">
        <v>520</v>
      </c>
      <c r="I320" s="123" t="s">
        <v>526</v>
      </c>
      <c r="J320" s="212"/>
      <c r="K320" s="212"/>
      <c r="L320" s="212"/>
      <c r="M320" s="213"/>
      <c r="N320" s="213"/>
      <c r="O320" s="213"/>
      <c r="P320" s="212"/>
      <c r="Q320" s="106" t="b">
        <f t="shared" si="20"/>
        <v>0</v>
      </c>
      <c r="R320" s="199">
        <f t="shared" si="17"/>
        <v>0</v>
      </c>
    </row>
    <row r="321" spans="1:18" x14ac:dyDescent="0.3">
      <c r="A321" s="124">
        <v>12</v>
      </c>
      <c r="B321" s="37" t="s">
        <v>630</v>
      </c>
      <c r="C321" s="38">
        <v>20</v>
      </c>
      <c r="D321" s="125" t="s">
        <v>624</v>
      </c>
      <c r="E321" s="123" t="s">
        <v>653</v>
      </c>
      <c r="F321" s="131"/>
      <c r="G321" s="128" t="s">
        <v>53</v>
      </c>
      <c r="H321" s="154" t="s">
        <v>661</v>
      </c>
      <c r="I321" s="155" t="s">
        <v>660</v>
      </c>
      <c r="J321" s="212"/>
      <c r="K321" s="212"/>
      <c r="L321" s="212"/>
      <c r="M321" s="213"/>
      <c r="N321" s="213"/>
      <c r="O321" s="213"/>
      <c r="P321" s="212"/>
      <c r="Q321" s="106" t="b">
        <f t="shared" si="20"/>
        <v>0</v>
      </c>
      <c r="R321" s="199">
        <f t="shared" si="17"/>
        <v>0</v>
      </c>
    </row>
    <row r="322" spans="1:18" x14ac:dyDescent="0.3">
      <c r="A322" s="124">
        <v>12</v>
      </c>
      <c r="B322" s="37" t="s">
        <v>630</v>
      </c>
      <c r="C322" s="38">
        <v>21</v>
      </c>
      <c r="D322" s="125" t="s">
        <v>625</v>
      </c>
      <c r="E322" s="123" t="s">
        <v>654</v>
      </c>
      <c r="F322" s="126" t="s">
        <v>52</v>
      </c>
      <c r="G322" s="131"/>
      <c r="H322" s="122" t="s">
        <v>521</v>
      </c>
      <c r="I322" s="123" t="s">
        <v>525</v>
      </c>
      <c r="J322" s="212"/>
      <c r="K322" s="212"/>
      <c r="L322" s="212"/>
      <c r="M322" s="213"/>
      <c r="N322" s="213"/>
      <c r="O322" s="213"/>
      <c r="P322" s="212"/>
      <c r="Q322" s="106" t="b">
        <f t="shared" si="20"/>
        <v>0</v>
      </c>
      <c r="R322" s="199">
        <f t="shared" si="17"/>
        <v>0</v>
      </c>
    </row>
    <row r="323" spans="1:18" x14ac:dyDescent="0.3">
      <c r="A323" s="124">
        <v>12</v>
      </c>
      <c r="B323" s="37" t="s">
        <v>630</v>
      </c>
      <c r="C323" s="38">
        <v>22</v>
      </c>
      <c r="D323" s="125" t="s">
        <v>633</v>
      </c>
      <c r="E323" s="123" t="s">
        <v>655</v>
      </c>
      <c r="F323" s="131"/>
      <c r="G323" s="128" t="s">
        <v>53</v>
      </c>
      <c r="H323" s="154" t="s">
        <v>661</v>
      </c>
      <c r="I323" s="155" t="s">
        <v>660</v>
      </c>
      <c r="J323" s="212"/>
      <c r="K323" s="212"/>
      <c r="L323" s="212"/>
      <c r="M323" s="213"/>
      <c r="N323" s="213"/>
      <c r="O323" s="213"/>
      <c r="P323" s="212"/>
      <c r="Q323" s="106" t="b">
        <f t="shared" si="20"/>
        <v>0</v>
      </c>
      <c r="R323" s="199">
        <f t="shared" si="17"/>
        <v>0</v>
      </c>
    </row>
    <row r="324" spans="1:18" x14ac:dyDescent="0.3">
      <c r="A324" s="124">
        <v>12</v>
      </c>
      <c r="B324" s="37" t="s">
        <v>630</v>
      </c>
      <c r="C324" s="38">
        <v>23</v>
      </c>
      <c r="D324" s="125" t="s">
        <v>626</v>
      </c>
      <c r="E324" s="123" t="s">
        <v>656</v>
      </c>
      <c r="F324" s="126" t="s">
        <v>52</v>
      </c>
      <c r="G324" s="131"/>
      <c r="H324" s="122" t="s">
        <v>521</v>
      </c>
      <c r="I324" s="123" t="s">
        <v>525</v>
      </c>
      <c r="J324" s="212"/>
      <c r="K324" s="212"/>
      <c r="L324" s="212"/>
      <c r="M324" s="213"/>
      <c r="N324" s="213"/>
      <c r="O324" s="213"/>
      <c r="P324" s="212"/>
      <c r="Q324" s="106" t="b">
        <f t="shared" si="20"/>
        <v>0</v>
      </c>
      <c r="R324" s="199">
        <f t="shared" ref="R324:R387" si="22">COUNTA(J324:P324)</f>
        <v>0</v>
      </c>
    </row>
    <row r="325" spans="1:18" x14ac:dyDescent="0.3">
      <c r="A325" s="124">
        <v>12</v>
      </c>
      <c r="B325" s="37" t="s">
        <v>630</v>
      </c>
      <c r="C325" s="38">
        <v>24</v>
      </c>
      <c r="D325" s="125" t="s">
        <v>627</v>
      </c>
      <c r="E325" s="123" t="s">
        <v>657</v>
      </c>
      <c r="F325" s="126" t="s">
        <v>52</v>
      </c>
      <c r="G325" s="131"/>
      <c r="H325" s="122" t="s">
        <v>522</v>
      </c>
      <c r="I325" s="123" t="s">
        <v>526</v>
      </c>
      <c r="J325" s="212"/>
      <c r="K325" s="212" t="s">
        <v>1383</v>
      </c>
      <c r="L325" s="212"/>
      <c r="M325" s="213"/>
      <c r="N325" s="212" t="s">
        <v>1383</v>
      </c>
      <c r="O325" s="212"/>
      <c r="P325" s="212"/>
      <c r="Q325" s="106" t="b">
        <f t="shared" si="20"/>
        <v>1</v>
      </c>
      <c r="R325" s="199">
        <f t="shared" si="22"/>
        <v>2</v>
      </c>
    </row>
    <row r="326" spans="1:18" x14ac:dyDescent="0.3">
      <c r="A326" s="124">
        <v>12</v>
      </c>
      <c r="B326" s="37" t="s">
        <v>630</v>
      </c>
      <c r="C326" s="38">
        <v>25</v>
      </c>
      <c r="D326" s="125" t="s">
        <v>628</v>
      </c>
      <c r="E326" s="123" t="s">
        <v>658</v>
      </c>
      <c r="F326" s="126" t="s">
        <v>52</v>
      </c>
      <c r="G326" s="131"/>
      <c r="H326" s="122" t="s">
        <v>521</v>
      </c>
      <c r="I326" s="123" t="s">
        <v>525</v>
      </c>
      <c r="J326" s="212"/>
      <c r="K326" s="212"/>
      <c r="L326" s="212"/>
      <c r="M326" s="213"/>
      <c r="N326" s="213"/>
      <c r="O326" s="213"/>
      <c r="P326" s="212"/>
      <c r="Q326" s="106" t="b">
        <f t="shared" ref="Q326:Q389" si="23">IF(COUNTA(J326:P326)=0,FALSE,TRUE)</f>
        <v>0</v>
      </c>
      <c r="R326" s="199">
        <f t="shared" si="22"/>
        <v>0</v>
      </c>
    </row>
    <row r="327" spans="1:18" ht="19.5" thickBot="1" x14ac:dyDescent="0.35">
      <c r="A327" s="161">
        <v>12</v>
      </c>
      <c r="B327" s="47" t="s">
        <v>630</v>
      </c>
      <c r="C327" s="48">
        <v>26</v>
      </c>
      <c r="D327" s="166" t="s">
        <v>629</v>
      </c>
      <c r="E327" s="148" t="s">
        <v>659</v>
      </c>
      <c r="F327" s="162" t="s">
        <v>52</v>
      </c>
      <c r="G327" s="167"/>
      <c r="H327" s="147" t="s">
        <v>521</v>
      </c>
      <c r="I327" s="148" t="s">
        <v>525</v>
      </c>
      <c r="J327" s="215"/>
      <c r="K327" s="215"/>
      <c r="L327" s="215"/>
      <c r="M327" s="216"/>
      <c r="N327" s="216"/>
      <c r="O327" s="216"/>
      <c r="P327" s="215"/>
      <c r="Q327" s="106" t="b">
        <f t="shared" si="23"/>
        <v>0</v>
      </c>
      <c r="R327" s="205">
        <f t="shared" si="22"/>
        <v>0</v>
      </c>
    </row>
    <row r="328" spans="1:18" ht="19.5" hidden="1" thickBot="1" x14ac:dyDescent="0.3">
      <c r="A328" s="137">
        <f>A327</f>
        <v>12</v>
      </c>
      <c r="B328" s="138" t="str">
        <f>B327</f>
        <v>LAPUYAN</v>
      </c>
      <c r="C328" s="15">
        <f>COUNTA(C302:C327)</f>
        <v>26</v>
      </c>
      <c r="D328" s="139" t="s">
        <v>1</v>
      </c>
      <c r="E328" s="139" t="s">
        <v>1374</v>
      </c>
      <c r="F328" s="15">
        <f>COUNTA(F302:F327)</f>
        <v>19</v>
      </c>
      <c r="G328" s="15">
        <f>COUNTA(G302:G327)</f>
        <v>7</v>
      </c>
      <c r="H328" s="291" t="s">
        <v>3</v>
      </c>
      <c r="I328" s="292"/>
      <c r="J328" s="15">
        <f>COUNTA(J302:J327)</f>
        <v>0</v>
      </c>
      <c r="K328" s="15">
        <f t="shared" ref="K328:O328" si="24">COUNTA(K302:K327)</f>
        <v>1</v>
      </c>
      <c r="L328" s="15">
        <f t="shared" si="24"/>
        <v>0</v>
      </c>
      <c r="M328" s="15">
        <f t="shared" si="24"/>
        <v>0</v>
      </c>
      <c r="N328" s="15">
        <f t="shared" si="24"/>
        <v>1</v>
      </c>
      <c r="O328" s="15">
        <f t="shared" si="24"/>
        <v>0</v>
      </c>
      <c r="P328" s="15">
        <f>COUNTA(P302:P327)</f>
        <v>0</v>
      </c>
      <c r="Q328" s="22">
        <f>COUNTIF(Q302:Q327,TRUE)</f>
        <v>1</v>
      </c>
      <c r="R328" s="249">
        <f>SUM(J328:P328)</f>
        <v>2</v>
      </c>
    </row>
    <row r="329" spans="1:18" x14ac:dyDescent="0.3">
      <c r="A329" s="119">
        <v>13</v>
      </c>
      <c r="B329" s="41" t="s">
        <v>686</v>
      </c>
      <c r="C329" s="44">
        <v>1</v>
      </c>
      <c r="D329" s="150" t="s">
        <v>662</v>
      </c>
      <c r="E329" s="153" t="s">
        <v>714</v>
      </c>
      <c r="F329" s="151" t="s">
        <v>52</v>
      </c>
      <c r="G329" s="168"/>
      <c r="H329" s="152" t="s">
        <v>715</v>
      </c>
      <c r="I329" s="184" t="s">
        <v>691</v>
      </c>
      <c r="J329" s="218" t="s">
        <v>1383</v>
      </c>
      <c r="K329" s="218"/>
      <c r="L329" s="218"/>
      <c r="M329" s="219"/>
      <c r="N329" s="219"/>
      <c r="O329" s="219"/>
      <c r="P329" s="218"/>
      <c r="Q329" s="243" t="b">
        <f t="shared" si="23"/>
        <v>1</v>
      </c>
      <c r="R329" s="208">
        <f t="shared" si="22"/>
        <v>1</v>
      </c>
    </row>
    <row r="330" spans="1:18" x14ac:dyDescent="0.3">
      <c r="A330" s="124">
        <v>13</v>
      </c>
      <c r="B330" s="37" t="s">
        <v>686</v>
      </c>
      <c r="C330" s="50">
        <v>2</v>
      </c>
      <c r="D330" s="125" t="s">
        <v>663</v>
      </c>
      <c r="E330" s="185" t="s">
        <v>687</v>
      </c>
      <c r="F330" s="126" t="s">
        <v>52</v>
      </c>
      <c r="G330" s="131"/>
      <c r="H330" s="122" t="s">
        <v>715</v>
      </c>
      <c r="I330" s="185" t="s">
        <v>691</v>
      </c>
      <c r="J330" s="212"/>
      <c r="K330" s="212"/>
      <c r="L330" s="212"/>
      <c r="M330" s="213"/>
      <c r="N330" s="213"/>
      <c r="O330" s="213"/>
      <c r="P330" s="212"/>
      <c r="Q330" s="106" t="b">
        <f t="shared" si="23"/>
        <v>0</v>
      </c>
      <c r="R330" s="199">
        <f t="shared" si="22"/>
        <v>0</v>
      </c>
    </row>
    <row r="331" spans="1:18" x14ac:dyDescent="0.3">
      <c r="A331" s="124">
        <v>13</v>
      </c>
      <c r="B331" s="37" t="s">
        <v>686</v>
      </c>
      <c r="C331" s="50">
        <v>3</v>
      </c>
      <c r="D331" s="125" t="s">
        <v>664</v>
      </c>
      <c r="E331" s="185" t="s">
        <v>688</v>
      </c>
      <c r="F331" s="126" t="s">
        <v>52</v>
      </c>
      <c r="G331" s="131"/>
      <c r="H331" s="122" t="s">
        <v>258</v>
      </c>
      <c r="I331" s="123" t="s">
        <v>213</v>
      </c>
      <c r="J331" s="212" t="s">
        <v>1383</v>
      </c>
      <c r="K331" s="212"/>
      <c r="L331" s="212"/>
      <c r="M331" s="213"/>
      <c r="N331" s="213"/>
      <c r="O331" s="213"/>
      <c r="P331" s="212"/>
      <c r="Q331" s="106" t="b">
        <f t="shared" si="23"/>
        <v>1</v>
      </c>
      <c r="R331" s="199">
        <f t="shared" si="22"/>
        <v>1</v>
      </c>
    </row>
    <row r="332" spans="1:18" x14ac:dyDescent="0.3">
      <c r="A332" s="124">
        <v>13</v>
      </c>
      <c r="B332" s="37" t="s">
        <v>686</v>
      </c>
      <c r="C332" s="50">
        <v>4</v>
      </c>
      <c r="D332" s="125" t="s">
        <v>665</v>
      </c>
      <c r="E332" s="185" t="s">
        <v>689</v>
      </c>
      <c r="F332" s="126" t="s">
        <v>52</v>
      </c>
      <c r="G332" s="131"/>
      <c r="H332" s="122" t="s">
        <v>715</v>
      </c>
      <c r="I332" s="185" t="s">
        <v>691</v>
      </c>
      <c r="J332" s="212" t="s">
        <v>1383</v>
      </c>
      <c r="K332" s="212"/>
      <c r="L332" s="212"/>
      <c r="M332" s="213"/>
      <c r="N332" s="213"/>
      <c r="O332" s="213"/>
      <c r="P332" s="212"/>
      <c r="Q332" s="106" t="b">
        <f t="shared" si="23"/>
        <v>1</v>
      </c>
      <c r="R332" s="199">
        <f t="shared" si="22"/>
        <v>1</v>
      </c>
    </row>
    <row r="333" spans="1:18" x14ac:dyDescent="0.3">
      <c r="A333" s="124">
        <v>13</v>
      </c>
      <c r="B333" s="37" t="s">
        <v>686</v>
      </c>
      <c r="C333" s="50">
        <v>5</v>
      </c>
      <c r="D333" s="125" t="s">
        <v>666</v>
      </c>
      <c r="E333" s="185" t="s">
        <v>690</v>
      </c>
      <c r="F333" s="126" t="s">
        <v>52</v>
      </c>
      <c r="G333" s="131"/>
      <c r="H333" s="122" t="s">
        <v>170</v>
      </c>
      <c r="I333" s="123" t="s">
        <v>265</v>
      </c>
      <c r="J333" s="212"/>
      <c r="K333" s="212"/>
      <c r="L333" s="212"/>
      <c r="M333" s="213"/>
      <c r="N333" s="213"/>
      <c r="O333" s="213"/>
      <c r="P333" s="212"/>
      <c r="Q333" s="106" t="b">
        <f t="shared" si="23"/>
        <v>0</v>
      </c>
      <c r="R333" s="199">
        <f t="shared" si="22"/>
        <v>0</v>
      </c>
    </row>
    <row r="334" spans="1:18" x14ac:dyDescent="0.3">
      <c r="A334" s="124">
        <v>13</v>
      </c>
      <c r="B334" s="37" t="s">
        <v>686</v>
      </c>
      <c r="C334" s="50">
        <v>6</v>
      </c>
      <c r="D334" s="125" t="s">
        <v>667</v>
      </c>
      <c r="E334" s="185" t="s">
        <v>691</v>
      </c>
      <c r="F334" s="126" t="s">
        <v>52</v>
      </c>
      <c r="G334" s="131"/>
      <c r="H334" s="122" t="s">
        <v>262</v>
      </c>
      <c r="I334" s="123" t="s">
        <v>580</v>
      </c>
      <c r="J334" s="212" t="s">
        <v>1383</v>
      </c>
      <c r="K334" s="212"/>
      <c r="L334" s="212"/>
      <c r="M334" s="213"/>
      <c r="N334" s="213" t="s">
        <v>1383</v>
      </c>
      <c r="O334" s="213"/>
      <c r="P334" s="212"/>
      <c r="Q334" s="106" t="b">
        <f t="shared" si="23"/>
        <v>1</v>
      </c>
      <c r="R334" s="199">
        <f t="shared" si="22"/>
        <v>2</v>
      </c>
    </row>
    <row r="335" spans="1:18" x14ac:dyDescent="0.3">
      <c r="A335" s="124">
        <v>13</v>
      </c>
      <c r="B335" s="37" t="s">
        <v>686</v>
      </c>
      <c r="C335" s="50">
        <v>7</v>
      </c>
      <c r="D335" s="125" t="s">
        <v>668</v>
      </c>
      <c r="E335" s="185" t="s">
        <v>692</v>
      </c>
      <c r="F335" s="126" t="s">
        <v>52</v>
      </c>
      <c r="G335" s="131"/>
      <c r="H335" s="122" t="s">
        <v>258</v>
      </c>
      <c r="I335" s="123" t="s">
        <v>213</v>
      </c>
      <c r="J335" s="212" t="s">
        <v>1383</v>
      </c>
      <c r="K335" s="212"/>
      <c r="L335" s="212"/>
      <c r="M335" s="213"/>
      <c r="N335" s="213"/>
      <c r="O335" s="213"/>
      <c r="P335" s="212"/>
      <c r="Q335" s="106" t="b">
        <f t="shared" si="23"/>
        <v>1</v>
      </c>
      <c r="R335" s="199">
        <f t="shared" si="22"/>
        <v>1</v>
      </c>
    </row>
    <row r="336" spans="1:18" x14ac:dyDescent="0.3">
      <c r="A336" s="124">
        <v>13</v>
      </c>
      <c r="B336" s="37" t="s">
        <v>686</v>
      </c>
      <c r="C336" s="50">
        <v>8</v>
      </c>
      <c r="D336" s="125" t="s">
        <v>669</v>
      </c>
      <c r="E336" s="185" t="s">
        <v>693</v>
      </c>
      <c r="F336" s="126" t="s">
        <v>52</v>
      </c>
      <c r="G336" s="131"/>
      <c r="H336" s="122" t="s">
        <v>170</v>
      </c>
      <c r="I336" s="123" t="s">
        <v>265</v>
      </c>
      <c r="J336" s="212"/>
      <c r="K336" s="212"/>
      <c r="L336" s="212"/>
      <c r="M336" s="213"/>
      <c r="N336" s="213"/>
      <c r="O336" s="213"/>
      <c r="P336" s="212"/>
      <c r="Q336" s="106" t="b">
        <f t="shared" si="23"/>
        <v>0</v>
      </c>
      <c r="R336" s="199">
        <f t="shared" si="22"/>
        <v>0</v>
      </c>
    </row>
    <row r="337" spans="1:18" x14ac:dyDescent="0.3">
      <c r="A337" s="124">
        <v>13</v>
      </c>
      <c r="B337" s="37" t="s">
        <v>686</v>
      </c>
      <c r="C337" s="50">
        <v>9</v>
      </c>
      <c r="D337" s="125" t="s">
        <v>670</v>
      </c>
      <c r="E337" s="185" t="s">
        <v>716</v>
      </c>
      <c r="F337" s="126" t="s">
        <v>52</v>
      </c>
      <c r="G337" s="131"/>
      <c r="H337" s="122" t="s">
        <v>258</v>
      </c>
      <c r="I337" s="123" t="s">
        <v>213</v>
      </c>
      <c r="J337" s="212" t="s">
        <v>1383</v>
      </c>
      <c r="K337" s="212"/>
      <c r="L337" s="212"/>
      <c r="M337" s="213"/>
      <c r="N337" s="213"/>
      <c r="O337" s="213"/>
      <c r="P337" s="212"/>
      <c r="Q337" s="106" t="b">
        <f t="shared" si="23"/>
        <v>1</v>
      </c>
      <c r="R337" s="199">
        <f t="shared" si="22"/>
        <v>1</v>
      </c>
    </row>
    <row r="338" spans="1:18" x14ac:dyDescent="0.3">
      <c r="A338" s="124">
        <v>13</v>
      </c>
      <c r="B338" s="37" t="s">
        <v>686</v>
      </c>
      <c r="C338" s="50">
        <v>10</v>
      </c>
      <c r="D338" s="125" t="s">
        <v>671</v>
      </c>
      <c r="E338" s="185" t="s">
        <v>694</v>
      </c>
      <c r="F338" s="126" t="s">
        <v>52</v>
      </c>
      <c r="G338" s="131"/>
      <c r="H338" s="122" t="s">
        <v>715</v>
      </c>
      <c r="I338" s="185" t="s">
        <v>691</v>
      </c>
      <c r="J338" s="212" t="s">
        <v>1383</v>
      </c>
      <c r="K338" s="212"/>
      <c r="L338" s="212"/>
      <c r="M338" s="213"/>
      <c r="N338" s="213"/>
      <c r="O338" s="213"/>
      <c r="P338" s="212"/>
      <c r="Q338" s="106" t="b">
        <f t="shared" si="23"/>
        <v>1</v>
      </c>
      <c r="R338" s="199">
        <f t="shared" si="22"/>
        <v>1</v>
      </c>
    </row>
    <row r="339" spans="1:18" x14ac:dyDescent="0.3">
      <c r="A339" s="124">
        <v>13</v>
      </c>
      <c r="B339" s="37" t="s">
        <v>686</v>
      </c>
      <c r="C339" s="50">
        <v>11</v>
      </c>
      <c r="D339" s="125" t="s">
        <v>672</v>
      </c>
      <c r="E339" s="185" t="s">
        <v>695</v>
      </c>
      <c r="F339" s="126" t="s">
        <v>52</v>
      </c>
      <c r="G339" s="131"/>
      <c r="H339" s="122" t="s">
        <v>267</v>
      </c>
      <c r="I339" s="123" t="s">
        <v>268</v>
      </c>
      <c r="J339" s="212" t="s">
        <v>1383</v>
      </c>
      <c r="K339" s="212"/>
      <c r="L339" s="212"/>
      <c r="M339" s="213"/>
      <c r="N339" s="213"/>
      <c r="O339" s="213"/>
      <c r="P339" s="212"/>
      <c r="Q339" s="106" t="b">
        <f t="shared" si="23"/>
        <v>1</v>
      </c>
      <c r="R339" s="199">
        <f t="shared" si="22"/>
        <v>1</v>
      </c>
    </row>
    <row r="340" spans="1:18" x14ac:dyDescent="0.3">
      <c r="A340" s="161">
        <v>13</v>
      </c>
      <c r="B340" s="47" t="s">
        <v>686</v>
      </c>
      <c r="C340" s="252">
        <v>12</v>
      </c>
      <c r="D340" s="146" t="s">
        <v>673</v>
      </c>
      <c r="E340" s="253" t="s">
        <v>696</v>
      </c>
      <c r="F340" s="162"/>
      <c r="G340" s="143" t="s">
        <v>53</v>
      </c>
      <c r="H340" s="225" t="s">
        <v>715</v>
      </c>
      <c r="I340" s="254" t="s">
        <v>691</v>
      </c>
      <c r="J340" s="215"/>
      <c r="K340" s="215"/>
      <c r="L340" s="215"/>
      <c r="M340" s="216"/>
      <c r="N340" s="216"/>
      <c r="O340" s="216"/>
      <c r="P340" s="215"/>
      <c r="Q340" s="106" t="b">
        <f t="shared" si="23"/>
        <v>0</v>
      </c>
      <c r="R340" s="205">
        <f t="shared" si="22"/>
        <v>0</v>
      </c>
    </row>
    <row r="341" spans="1:18" x14ac:dyDescent="0.3">
      <c r="A341" s="124">
        <v>13</v>
      </c>
      <c r="B341" s="37" t="s">
        <v>686</v>
      </c>
      <c r="C341" s="38">
        <v>13</v>
      </c>
      <c r="D341" s="125" t="s">
        <v>674</v>
      </c>
      <c r="E341" s="123" t="s">
        <v>697</v>
      </c>
      <c r="F341" s="126" t="s">
        <v>52</v>
      </c>
      <c r="G341" s="131"/>
      <c r="H341" s="122" t="s">
        <v>258</v>
      </c>
      <c r="I341" s="123" t="s">
        <v>213</v>
      </c>
      <c r="J341" s="212" t="s">
        <v>1383</v>
      </c>
      <c r="K341" s="212"/>
      <c r="L341" s="212"/>
      <c r="M341" s="212"/>
      <c r="N341" s="212"/>
      <c r="O341" s="212"/>
      <c r="P341" s="212"/>
      <c r="Q341" s="255" t="b">
        <f t="shared" si="23"/>
        <v>1</v>
      </c>
      <c r="R341" s="199">
        <f t="shared" si="22"/>
        <v>1</v>
      </c>
    </row>
    <row r="342" spans="1:18" x14ac:dyDescent="0.3">
      <c r="A342" s="124">
        <v>13</v>
      </c>
      <c r="B342" s="37" t="s">
        <v>686</v>
      </c>
      <c r="C342" s="38">
        <v>14</v>
      </c>
      <c r="D342" s="125" t="s">
        <v>675</v>
      </c>
      <c r="E342" s="123" t="s">
        <v>698</v>
      </c>
      <c r="F342" s="126" t="s">
        <v>52</v>
      </c>
      <c r="G342" s="131"/>
      <c r="H342" s="122" t="s">
        <v>170</v>
      </c>
      <c r="I342" s="123" t="s">
        <v>265</v>
      </c>
      <c r="J342" s="212"/>
      <c r="K342" s="212" t="s">
        <v>1383</v>
      </c>
      <c r="L342" s="212"/>
      <c r="M342" s="212"/>
      <c r="N342" s="212"/>
      <c r="O342" s="212"/>
      <c r="P342" s="212"/>
      <c r="Q342" s="255" t="b">
        <f t="shared" si="23"/>
        <v>1</v>
      </c>
      <c r="R342" s="199">
        <f t="shared" si="22"/>
        <v>1</v>
      </c>
    </row>
    <row r="343" spans="1:18" x14ac:dyDescent="0.3">
      <c r="A343" s="140">
        <v>13</v>
      </c>
      <c r="B343" s="36" t="s">
        <v>686</v>
      </c>
      <c r="C343" s="245">
        <v>15</v>
      </c>
      <c r="D343" s="120" t="s">
        <v>676</v>
      </c>
      <c r="E343" s="246" t="s">
        <v>699</v>
      </c>
      <c r="F343" s="121" t="s">
        <v>52</v>
      </c>
      <c r="G343" s="165"/>
      <c r="H343" s="142" t="s">
        <v>715</v>
      </c>
      <c r="I343" s="246" t="s">
        <v>691</v>
      </c>
      <c r="J343" s="209"/>
      <c r="K343" s="209"/>
      <c r="L343" s="209"/>
      <c r="M343" s="210"/>
      <c r="N343" s="210"/>
      <c r="O343" s="210"/>
      <c r="P343" s="209"/>
      <c r="Q343" s="106" t="b">
        <f t="shared" si="23"/>
        <v>0</v>
      </c>
      <c r="R343" s="196">
        <f t="shared" si="22"/>
        <v>0</v>
      </c>
    </row>
    <row r="344" spans="1:18" x14ac:dyDescent="0.3">
      <c r="A344" s="124">
        <v>13</v>
      </c>
      <c r="B344" s="37" t="s">
        <v>686</v>
      </c>
      <c r="C344" s="50">
        <v>16</v>
      </c>
      <c r="D344" s="125" t="s">
        <v>677</v>
      </c>
      <c r="E344" s="185" t="s">
        <v>700</v>
      </c>
      <c r="F344" s="131"/>
      <c r="G344" s="128" t="s">
        <v>53</v>
      </c>
      <c r="H344" s="154" t="s">
        <v>715</v>
      </c>
      <c r="I344" s="186" t="s">
        <v>691</v>
      </c>
      <c r="J344" s="212"/>
      <c r="K344" s="212"/>
      <c r="L344" s="212"/>
      <c r="M344" s="213"/>
      <c r="N344" s="213"/>
      <c r="O344" s="213"/>
      <c r="P344" s="212"/>
      <c r="Q344" s="106" t="b">
        <f t="shared" si="23"/>
        <v>0</v>
      </c>
      <c r="R344" s="199">
        <f t="shared" si="22"/>
        <v>0</v>
      </c>
    </row>
    <row r="345" spans="1:18" x14ac:dyDescent="0.3">
      <c r="A345" s="124">
        <v>13</v>
      </c>
      <c r="B345" s="37" t="s">
        <v>686</v>
      </c>
      <c r="C345" s="50">
        <v>17</v>
      </c>
      <c r="D345" s="125" t="s">
        <v>678</v>
      </c>
      <c r="E345" s="185" t="s">
        <v>701</v>
      </c>
      <c r="F345" s="131"/>
      <c r="G345" s="128" t="s">
        <v>53</v>
      </c>
      <c r="H345" s="154" t="s">
        <v>715</v>
      </c>
      <c r="I345" s="186" t="s">
        <v>691</v>
      </c>
      <c r="J345" s="212"/>
      <c r="K345" s="212"/>
      <c r="L345" s="212"/>
      <c r="M345" s="213"/>
      <c r="N345" s="213"/>
      <c r="O345" s="213"/>
      <c r="P345" s="212"/>
      <c r="Q345" s="106" t="b">
        <f t="shared" si="23"/>
        <v>0</v>
      </c>
      <c r="R345" s="199">
        <f t="shared" si="22"/>
        <v>0</v>
      </c>
    </row>
    <row r="346" spans="1:18" x14ac:dyDescent="0.3">
      <c r="A346" s="124">
        <v>13</v>
      </c>
      <c r="B346" s="37" t="s">
        <v>686</v>
      </c>
      <c r="C346" s="50">
        <v>18</v>
      </c>
      <c r="D346" s="125" t="s">
        <v>43</v>
      </c>
      <c r="E346" s="185" t="s">
        <v>702</v>
      </c>
      <c r="F346" s="126" t="s">
        <v>52</v>
      </c>
      <c r="G346" s="128"/>
      <c r="H346" s="122" t="s">
        <v>262</v>
      </c>
      <c r="I346" s="123" t="s">
        <v>580</v>
      </c>
      <c r="J346" s="212" t="s">
        <v>1383</v>
      </c>
      <c r="K346" s="212"/>
      <c r="L346" s="212"/>
      <c r="M346" s="213"/>
      <c r="N346" s="213"/>
      <c r="O346" s="213"/>
      <c r="P346" s="212"/>
      <c r="Q346" s="106" t="b">
        <f t="shared" si="23"/>
        <v>1</v>
      </c>
      <c r="R346" s="199">
        <f t="shared" si="22"/>
        <v>1</v>
      </c>
    </row>
    <row r="347" spans="1:18" x14ac:dyDescent="0.3">
      <c r="A347" s="124">
        <v>13</v>
      </c>
      <c r="B347" s="37" t="s">
        <v>686</v>
      </c>
      <c r="C347" s="50">
        <v>19</v>
      </c>
      <c r="D347" s="125" t="s">
        <v>679</v>
      </c>
      <c r="E347" s="185" t="s">
        <v>703</v>
      </c>
      <c r="F347" s="126" t="s">
        <v>52</v>
      </c>
      <c r="G347" s="131"/>
      <c r="H347" s="122" t="s">
        <v>262</v>
      </c>
      <c r="I347" s="123" t="s">
        <v>580</v>
      </c>
      <c r="J347" s="212"/>
      <c r="K347" s="212"/>
      <c r="L347" s="212"/>
      <c r="M347" s="213"/>
      <c r="N347" s="213"/>
      <c r="O347" s="213"/>
      <c r="P347" s="212"/>
      <c r="Q347" s="106" t="b">
        <f t="shared" si="23"/>
        <v>0</v>
      </c>
      <c r="R347" s="199">
        <f t="shared" si="22"/>
        <v>0</v>
      </c>
    </row>
    <row r="348" spans="1:18" x14ac:dyDescent="0.3">
      <c r="A348" s="124">
        <v>13</v>
      </c>
      <c r="B348" s="37" t="s">
        <v>686</v>
      </c>
      <c r="C348" s="50">
        <v>20</v>
      </c>
      <c r="D348" s="125" t="s">
        <v>84</v>
      </c>
      <c r="E348" s="185" t="s">
        <v>704</v>
      </c>
      <c r="F348" s="126" t="s">
        <v>52</v>
      </c>
      <c r="G348" s="131"/>
      <c r="H348" s="122" t="s">
        <v>262</v>
      </c>
      <c r="I348" s="123" t="s">
        <v>580</v>
      </c>
      <c r="J348" s="212"/>
      <c r="K348" s="212"/>
      <c r="L348" s="212"/>
      <c r="M348" s="213"/>
      <c r="N348" s="213"/>
      <c r="O348" s="213"/>
      <c r="P348" s="212"/>
      <c r="Q348" s="106" t="b">
        <f t="shared" si="23"/>
        <v>0</v>
      </c>
      <c r="R348" s="199">
        <f t="shared" si="22"/>
        <v>0</v>
      </c>
    </row>
    <row r="349" spans="1:18" x14ac:dyDescent="0.3">
      <c r="A349" s="124">
        <v>13</v>
      </c>
      <c r="B349" s="37" t="s">
        <v>686</v>
      </c>
      <c r="C349" s="50">
        <v>21</v>
      </c>
      <c r="D349" s="125" t="s">
        <v>46</v>
      </c>
      <c r="E349" s="185" t="s">
        <v>705</v>
      </c>
      <c r="F349" s="126" t="s">
        <v>52</v>
      </c>
      <c r="G349" s="131"/>
      <c r="H349" s="122" t="s">
        <v>715</v>
      </c>
      <c r="I349" s="185" t="s">
        <v>691</v>
      </c>
      <c r="J349" s="212" t="s">
        <v>1383</v>
      </c>
      <c r="K349" s="212"/>
      <c r="L349" s="212"/>
      <c r="M349" s="213"/>
      <c r="N349" s="213"/>
      <c r="O349" s="213"/>
      <c r="P349" s="212"/>
      <c r="Q349" s="106" t="b">
        <f t="shared" si="23"/>
        <v>1</v>
      </c>
      <c r="R349" s="199">
        <f t="shared" si="22"/>
        <v>1</v>
      </c>
    </row>
    <row r="350" spans="1:18" x14ac:dyDescent="0.3">
      <c r="A350" s="124">
        <v>13</v>
      </c>
      <c r="B350" s="37" t="s">
        <v>686</v>
      </c>
      <c r="C350" s="50">
        <v>22</v>
      </c>
      <c r="D350" s="125" t="s">
        <v>202</v>
      </c>
      <c r="E350" s="185" t="s">
        <v>706</v>
      </c>
      <c r="F350" s="126" t="s">
        <v>52</v>
      </c>
      <c r="G350" s="131"/>
      <c r="H350" s="122" t="s">
        <v>262</v>
      </c>
      <c r="I350" s="123" t="s">
        <v>580</v>
      </c>
      <c r="J350" s="212"/>
      <c r="K350" s="212"/>
      <c r="L350" s="212"/>
      <c r="M350" s="213"/>
      <c r="N350" s="213"/>
      <c r="O350" s="213"/>
      <c r="P350" s="212"/>
      <c r="Q350" s="106" t="b">
        <f t="shared" si="23"/>
        <v>0</v>
      </c>
      <c r="R350" s="199">
        <f t="shared" si="22"/>
        <v>0</v>
      </c>
    </row>
    <row r="351" spans="1:18" x14ac:dyDescent="0.3">
      <c r="A351" s="124">
        <v>13</v>
      </c>
      <c r="B351" s="37" t="s">
        <v>686</v>
      </c>
      <c r="C351" s="50">
        <v>23</v>
      </c>
      <c r="D351" s="125" t="s">
        <v>544</v>
      </c>
      <c r="E351" s="185" t="s">
        <v>707</v>
      </c>
      <c r="F351" s="126" t="s">
        <v>52</v>
      </c>
      <c r="G351" s="131"/>
      <c r="H351" s="122" t="s">
        <v>258</v>
      </c>
      <c r="I351" s="123" t="s">
        <v>213</v>
      </c>
      <c r="J351" s="212" t="s">
        <v>1383</v>
      </c>
      <c r="K351" s="212"/>
      <c r="L351" s="212"/>
      <c r="M351" s="213"/>
      <c r="N351" s="213"/>
      <c r="O351" s="213"/>
      <c r="P351" s="212"/>
      <c r="Q351" s="106" t="b">
        <f t="shared" si="23"/>
        <v>1</v>
      </c>
      <c r="R351" s="199">
        <f t="shared" si="22"/>
        <v>1</v>
      </c>
    </row>
    <row r="352" spans="1:18" x14ac:dyDescent="0.3">
      <c r="A352" s="124">
        <v>13</v>
      </c>
      <c r="B352" s="37" t="s">
        <v>686</v>
      </c>
      <c r="C352" s="50">
        <v>24</v>
      </c>
      <c r="D352" s="125" t="s">
        <v>680</v>
      </c>
      <c r="E352" s="185" t="s">
        <v>708</v>
      </c>
      <c r="F352" s="126" t="s">
        <v>52</v>
      </c>
      <c r="G352" s="131"/>
      <c r="H352" s="122" t="s">
        <v>715</v>
      </c>
      <c r="I352" s="185" t="s">
        <v>691</v>
      </c>
      <c r="J352" s="212"/>
      <c r="K352" s="212"/>
      <c r="L352" s="212"/>
      <c r="M352" s="213"/>
      <c r="N352" s="213"/>
      <c r="O352" s="213"/>
      <c r="P352" s="212"/>
      <c r="Q352" s="106" t="b">
        <f t="shared" si="23"/>
        <v>0</v>
      </c>
      <c r="R352" s="199">
        <f t="shared" si="22"/>
        <v>0</v>
      </c>
    </row>
    <row r="353" spans="1:18" x14ac:dyDescent="0.3">
      <c r="A353" s="124">
        <v>13</v>
      </c>
      <c r="B353" s="37" t="s">
        <v>686</v>
      </c>
      <c r="C353" s="50">
        <v>25</v>
      </c>
      <c r="D353" s="125" t="s">
        <v>681</v>
      </c>
      <c r="E353" s="185" t="s">
        <v>709</v>
      </c>
      <c r="F353" s="126" t="s">
        <v>52</v>
      </c>
      <c r="G353" s="131"/>
      <c r="H353" s="122" t="s">
        <v>170</v>
      </c>
      <c r="I353" s="123" t="s">
        <v>265</v>
      </c>
      <c r="J353" s="212"/>
      <c r="K353" s="212"/>
      <c r="L353" s="212"/>
      <c r="M353" s="213"/>
      <c r="N353" s="213"/>
      <c r="O353" s="213"/>
      <c r="P353" s="212"/>
      <c r="Q353" s="106" t="b">
        <f t="shared" si="23"/>
        <v>0</v>
      </c>
      <c r="R353" s="199">
        <f t="shared" si="22"/>
        <v>0</v>
      </c>
    </row>
    <row r="354" spans="1:18" x14ac:dyDescent="0.3">
      <c r="A354" s="124">
        <v>13</v>
      </c>
      <c r="B354" s="37" t="s">
        <v>686</v>
      </c>
      <c r="C354" s="50">
        <v>26</v>
      </c>
      <c r="D354" s="125" t="s">
        <v>682</v>
      </c>
      <c r="E354" s="185" t="s">
        <v>710</v>
      </c>
      <c r="F354" s="131"/>
      <c r="G354" s="128" t="s">
        <v>53</v>
      </c>
      <c r="H354" s="154" t="s">
        <v>715</v>
      </c>
      <c r="I354" s="186" t="s">
        <v>691</v>
      </c>
      <c r="J354" s="212"/>
      <c r="K354" s="212"/>
      <c r="L354" s="212"/>
      <c r="M354" s="213"/>
      <c r="N354" s="213"/>
      <c r="O354" s="213"/>
      <c r="P354" s="212"/>
      <c r="Q354" s="106" t="b">
        <f t="shared" si="23"/>
        <v>0</v>
      </c>
      <c r="R354" s="199">
        <f t="shared" si="22"/>
        <v>0</v>
      </c>
    </row>
    <row r="355" spans="1:18" x14ac:dyDescent="0.3">
      <c r="A355" s="124">
        <v>13</v>
      </c>
      <c r="B355" s="37" t="s">
        <v>686</v>
      </c>
      <c r="C355" s="50">
        <v>27</v>
      </c>
      <c r="D355" s="125" t="s">
        <v>683</v>
      </c>
      <c r="E355" s="185" t="s">
        <v>711</v>
      </c>
      <c r="F355" s="126" t="s">
        <v>52</v>
      </c>
      <c r="G355" s="131"/>
      <c r="H355" s="122" t="s">
        <v>715</v>
      </c>
      <c r="I355" s="185" t="s">
        <v>691</v>
      </c>
      <c r="J355" s="212"/>
      <c r="K355" s="212"/>
      <c r="L355" s="212"/>
      <c r="M355" s="213"/>
      <c r="N355" s="213"/>
      <c r="O355" s="213"/>
      <c r="P355" s="212"/>
      <c r="Q355" s="106" t="b">
        <f t="shared" si="23"/>
        <v>0</v>
      </c>
      <c r="R355" s="199">
        <f t="shared" si="22"/>
        <v>0</v>
      </c>
    </row>
    <row r="356" spans="1:18" x14ac:dyDescent="0.3">
      <c r="A356" s="124">
        <v>13</v>
      </c>
      <c r="B356" s="37" t="s">
        <v>686</v>
      </c>
      <c r="C356" s="50">
        <v>28</v>
      </c>
      <c r="D356" s="125" t="s">
        <v>684</v>
      </c>
      <c r="E356" s="185" t="s">
        <v>712</v>
      </c>
      <c r="F356" s="126" t="s">
        <v>52</v>
      </c>
      <c r="G356" s="131"/>
      <c r="H356" s="122" t="s">
        <v>258</v>
      </c>
      <c r="I356" s="123" t="s">
        <v>213</v>
      </c>
      <c r="J356" s="212" t="s">
        <v>1383</v>
      </c>
      <c r="K356" s="212"/>
      <c r="L356" s="212"/>
      <c r="M356" s="213"/>
      <c r="N356" s="213"/>
      <c r="O356" s="213"/>
      <c r="P356" s="212"/>
      <c r="Q356" s="106" t="b">
        <f t="shared" si="23"/>
        <v>1</v>
      </c>
      <c r="R356" s="199">
        <f t="shared" si="22"/>
        <v>1</v>
      </c>
    </row>
    <row r="357" spans="1:18" ht="19.5" thickBot="1" x14ac:dyDescent="0.35">
      <c r="A357" s="132">
        <v>13</v>
      </c>
      <c r="B357" s="39" t="s">
        <v>686</v>
      </c>
      <c r="C357" s="45">
        <v>29</v>
      </c>
      <c r="D357" s="156" t="s">
        <v>685</v>
      </c>
      <c r="E357" s="159" t="s">
        <v>713</v>
      </c>
      <c r="F357" s="157" t="s">
        <v>52</v>
      </c>
      <c r="G357" s="174"/>
      <c r="H357" s="158" t="s">
        <v>170</v>
      </c>
      <c r="I357" s="159" t="s">
        <v>265</v>
      </c>
      <c r="J357" s="221" t="s">
        <v>1383</v>
      </c>
      <c r="K357" s="221"/>
      <c r="L357" s="221"/>
      <c r="M357" s="222"/>
      <c r="N357" s="222"/>
      <c r="O357" s="222"/>
      <c r="P357" s="221"/>
      <c r="Q357" s="244" t="b">
        <f t="shared" si="23"/>
        <v>1</v>
      </c>
      <c r="R357" s="202">
        <f t="shared" si="22"/>
        <v>1</v>
      </c>
    </row>
    <row r="358" spans="1:18" ht="19.5" hidden="1" thickBot="1" x14ac:dyDescent="0.3">
      <c r="A358" s="137">
        <f>A357</f>
        <v>13</v>
      </c>
      <c r="B358" s="138" t="str">
        <f>B357</f>
        <v>MAHAYAG</v>
      </c>
      <c r="C358" s="15">
        <f>COUNTA(C329:C357)</f>
        <v>29</v>
      </c>
      <c r="D358" s="139" t="s">
        <v>1</v>
      </c>
      <c r="E358" s="139" t="s">
        <v>1374</v>
      </c>
      <c r="F358" s="15">
        <f>COUNTA(F329:F357)</f>
        <v>25</v>
      </c>
      <c r="G358" s="15">
        <f>COUNTA(G329:G357)</f>
        <v>4</v>
      </c>
      <c r="H358" s="291" t="s">
        <v>3</v>
      </c>
      <c r="I358" s="292"/>
      <c r="J358" s="15">
        <f t="shared" ref="J358:P358" si="25">COUNTA(J329:J357)</f>
        <v>14</v>
      </c>
      <c r="K358" s="15">
        <f t="shared" si="25"/>
        <v>1</v>
      </c>
      <c r="L358" s="15">
        <f t="shared" si="25"/>
        <v>0</v>
      </c>
      <c r="M358" s="15">
        <f t="shared" si="25"/>
        <v>0</v>
      </c>
      <c r="N358" s="15">
        <f t="shared" si="25"/>
        <v>1</v>
      </c>
      <c r="O358" s="15">
        <f t="shared" si="25"/>
        <v>0</v>
      </c>
      <c r="P358" s="15">
        <f t="shared" si="25"/>
        <v>0</v>
      </c>
      <c r="Q358" s="22">
        <f>COUNTIF(Q329:Q357,TRUE)</f>
        <v>15</v>
      </c>
      <c r="R358" s="249">
        <f>SUM(J358:P358)</f>
        <v>16</v>
      </c>
    </row>
    <row r="359" spans="1:18" x14ac:dyDescent="0.3">
      <c r="A359" s="119">
        <v>14</v>
      </c>
      <c r="B359" s="41" t="s">
        <v>9</v>
      </c>
      <c r="C359" s="44">
        <v>1</v>
      </c>
      <c r="D359" s="150" t="s">
        <v>20</v>
      </c>
      <c r="E359" s="153" t="s">
        <v>728</v>
      </c>
      <c r="F359" s="151" t="s">
        <v>52</v>
      </c>
      <c r="G359" s="168"/>
      <c r="H359" s="152" t="s">
        <v>521</v>
      </c>
      <c r="I359" s="153" t="s">
        <v>525</v>
      </c>
      <c r="J359" s="218"/>
      <c r="K359" s="218"/>
      <c r="L359" s="218"/>
      <c r="M359" s="219"/>
      <c r="N359" s="219"/>
      <c r="O359" s="219"/>
      <c r="P359" s="218"/>
      <c r="Q359" s="243" t="b">
        <f t="shared" si="23"/>
        <v>0</v>
      </c>
      <c r="R359" s="208">
        <f t="shared" si="22"/>
        <v>0</v>
      </c>
    </row>
    <row r="360" spans="1:18" x14ac:dyDescent="0.3">
      <c r="A360" s="124">
        <v>14</v>
      </c>
      <c r="B360" s="37" t="s">
        <v>9</v>
      </c>
      <c r="C360" s="38">
        <v>2</v>
      </c>
      <c r="D360" s="125" t="s">
        <v>717</v>
      </c>
      <c r="E360" s="123" t="s">
        <v>729</v>
      </c>
      <c r="F360" s="131"/>
      <c r="G360" s="128" t="s">
        <v>53</v>
      </c>
      <c r="H360" s="154" t="s">
        <v>521</v>
      </c>
      <c r="I360" s="155" t="s">
        <v>525</v>
      </c>
      <c r="J360" s="212"/>
      <c r="K360" s="212"/>
      <c r="L360" s="212"/>
      <c r="M360" s="213"/>
      <c r="N360" s="213"/>
      <c r="O360" s="213"/>
      <c r="P360" s="212"/>
      <c r="Q360" s="106" t="b">
        <f t="shared" si="23"/>
        <v>0</v>
      </c>
      <c r="R360" s="199">
        <f t="shared" si="22"/>
        <v>0</v>
      </c>
    </row>
    <row r="361" spans="1:18" x14ac:dyDescent="0.3">
      <c r="A361" s="124">
        <v>14</v>
      </c>
      <c r="B361" s="37" t="s">
        <v>9</v>
      </c>
      <c r="C361" s="38">
        <v>3</v>
      </c>
      <c r="D361" s="125" t="s">
        <v>718</v>
      </c>
      <c r="E361" s="123" t="s">
        <v>730</v>
      </c>
      <c r="F361" s="131"/>
      <c r="G361" s="128" t="s">
        <v>53</v>
      </c>
      <c r="H361" s="154" t="s">
        <v>521</v>
      </c>
      <c r="I361" s="155" t="s">
        <v>525</v>
      </c>
      <c r="J361" s="212"/>
      <c r="K361" s="212"/>
      <c r="L361" s="212"/>
      <c r="M361" s="213"/>
      <c r="N361" s="213"/>
      <c r="O361" s="213"/>
      <c r="P361" s="212"/>
      <c r="Q361" s="106" t="b">
        <f t="shared" si="23"/>
        <v>0</v>
      </c>
      <c r="R361" s="199">
        <f t="shared" si="22"/>
        <v>0</v>
      </c>
    </row>
    <row r="362" spans="1:18" x14ac:dyDescent="0.3">
      <c r="A362" s="124">
        <v>14</v>
      </c>
      <c r="B362" s="37" t="s">
        <v>9</v>
      </c>
      <c r="C362" s="38">
        <v>4</v>
      </c>
      <c r="D362" s="125" t="s">
        <v>719</v>
      </c>
      <c r="E362" s="123" t="s">
        <v>731</v>
      </c>
      <c r="F362" s="126" t="s">
        <v>52</v>
      </c>
      <c r="G362" s="131"/>
      <c r="H362" s="122" t="s">
        <v>521</v>
      </c>
      <c r="I362" s="123" t="s">
        <v>525</v>
      </c>
      <c r="J362" s="212"/>
      <c r="K362" s="212"/>
      <c r="L362" s="212"/>
      <c r="M362" s="213"/>
      <c r="N362" s="213"/>
      <c r="O362" s="213"/>
      <c r="P362" s="212"/>
      <c r="Q362" s="106" t="b">
        <f t="shared" si="23"/>
        <v>0</v>
      </c>
      <c r="R362" s="199">
        <f t="shared" si="22"/>
        <v>0</v>
      </c>
    </row>
    <row r="363" spans="1:18" x14ac:dyDescent="0.3">
      <c r="A363" s="124">
        <v>14</v>
      </c>
      <c r="B363" s="37" t="s">
        <v>9</v>
      </c>
      <c r="C363" s="38">
        <v>5</v>
      </c>
      <c r="D363" s="125" t="s">
        <v>720</v>
      </c>
      <c r="E363" s="123" t="s">
        <v>732</v>
      </c>
      <c r="F363" s="126" t="s">
        <v>52</v>
      </c>
      <c r="G363" s="131"/>
      <c r="H363" s="142" t="s">
        <v>520</v>
      </c>
      <c r="I363" s="123" t="s">
        <v>526</v>
      </c>
      <c r="J363" s="212"/>
      <c r="K363" s="212"/>
      <c r="L363" s="212"/>
      <c r="M363" s="213"/>
      <c r="N363" s="213"/>
      <c r="O363" s="213"/>
      <c r="P363" s="212"/>
      <c r="Q363" s="106" t="b">
        <f t="shared" si="23"/>
        <v>0</v>
      </c>
      <c r="R363" s="199">
        <f t="shared" si="22"/>
        <v>0</v>
      </c>
    </row>
    <row r="364" spans="1:18" x14ac:dyDescent="0.3">
      <c r="A364" s="124">
        <v>14</v>
      </c>
      <c r="B364" s="37" t="s">
        <v>9</v>
      </c>
      <c r="C364" s="38">
        <v>6</v>
      </c>
      <c r="D364" s="125" t="s">
        <v>92</v>
      </c>
      <c r="E364" s="123" t="s">
        <v>733</v>
      </c>
      <c r="F364" s="131"/>
      <c r="G364" s="128" t="s">
        <v>53</v>
      </c>
      <c r="H364" s="154" t="s">
        <v>521</v>
      </c>
      <c r="I364" s="155" t="s">
        <v>525</v>
      </c>
      <c r="J364" s="212"/>
      <c r="K364" s="212"/>
      <c r="L364" s="212"/>
      <c r="M364" s="213"/>
      <c r="N364" s="213"/>
      <c r="O364" s="213"/>
      <c r="P364" s="212"/>
      <c r="Q364" s="106" t="b">
        <f t="shared" si="23"/>
        <v>0</v>
      </c>
      <c r="R364" s="199">
        <f t="shared" si="22"/>
        <v>0</v>
      </c>
    </row>
    <row r="365" spans="1:18" x14ac:dyDescent="0.3">
      <c r="A365" s="124">
        <v>14</v>
      </c>
      <c r="B365" s="37" t="s">
        <v>9</v>
      </c>
      <c r="C365" s="38">
        <v>7</v>
      </c>
      <c r="D365" s="125" t="s">
        <v>721</v>
      </c>
      <c r="E365" s="123" t="s">
        <v>734</v>
      </c>
      <c r="F365" s="126" t="s">
        <v>52</v>
      </c>
      <c r="G365" s="131"/>
      <c r="H365" s="122" t="s">
        <v>413</v>
      </c>
      <c r="I365" s="123" t="s">
        <v>412</v>
      </c>
      <c r="J365" s="212" t="s">
        <v>1383</v>
      </c>
      <c r="K365" s="212"/>
      <c r="L365" s="212"/>
      <c r="M365" s="213"/>
      <c r="N365" s="213"/>
      <c r="O365" s="213"/>
      <c r="P365" s="212"/>
      <c r="Q365" s="106" t="b">
        <f t="shared" si="23"/>
        <v>1</v>
      </c>
      <c r="R365" s="199">
        <f t="shared" si="22"/>
        <v>1</v>
      </c>
    </row>
    <row r="366" spans="1:18" x14ac:dyDescent="0.3">
      <c r="A366" s="124">
        <v>14</v>
      </c>
      <c r="B366" s="37" t="s">
        <v>9</v>
      </c>
      <c r="C366" s="38">
        <v>8</v>
      </c>
      <c r="D366" s="125" t="s">
        <v>735</v>
      </c>
      <c r="E366" s="123" t="s">
        <v>736</v>
      </c>
      <c r="F366" s="126" t="s">
        <v>52</v>
      </c>
      <c r="G366" s="128"/>
      <c r="H366" s="122" t="s">
        <v>661</v>
      </c>
      <c r="I366" s="123" t="s">
        <v>660</v>
      </c>
      <c r="J366" s="212"/>
      <c r="K366" s="212"/>
      <c r="L366" s="212"/>
      <c r="M366" s="213"/>
      <c r="N366" s="213"/>
      <c r="O366" s="213"/>
      <c r="P366" s="212"/>
      <c r="Q366" s="106" t="b">
        <f t="shared" si="23"/>
        <v>0</v>
      </c>
      <c r="R366" s="199">
        <f t="shared" si="22"/>
        <v>0</v>
      </c>
    </row>
    <row r="367" spans="1:18" x14ac:dyDescent="0.3">
      <c r="A367" s="124">
        <v>14</v>
      </c>
      <c r="B367" s="37" t="s">
        <v>9</v>
      </c>
      <c r="C367" s="38">
        <v>9</v>
      </c>
      <c r="D367" s="125" t="s">
        <v>517</v>
      </c>
      <c r="E367" s="123" t="s">
        <v>737</v>
      </c>
      <c r="F367" s="126" t="s">
        <v>52</v>
      </c>
      <c r="G367" s="131"/>
      <c r="H367" s="122" t="s">
        <v>413</v>
      </c>
      <c r="I367" s="123" t="s">
        <v>412</v>
      </c>
      <c r="J367" s="212"/>
      <c r="K367" s="212"/>
      <c r="L367" s="212"/>
      <c r="M367" s="213"/>
      <c r="N367" s="213"/>
      <c r="O367" s="213"/>
      <c r="P367" s="212"/>
      <c r="Q367" s="106" t="b">
        <f t="shared" si="23"/>
        <v>0</v>
      </c>
      <c r="R367" s="199">
        <f t="shared" si="22"/>
        <v>0</v>
      </c>
    </row>
    <row r="368" spans="1:18" x14ac:dyDescent="0.3">
      <c r="A368" s="124">
        <v>14</v>
      </c>
      <c r="B368" s="37" t="s">
        <v>9</v>
      </c>
      <c r="C368" s="38">
        <v>10</v>
      </c>
      <c r="D368" s="125" t="s">
        <v>722</v>
      </c>
      <c r="E368" s="123" t="s">
        <v>738</v>
      </c>
      <c r="F368" s="126" t="s">
        <v>52</v>
      </c>
      <c r="G368" s="131"/>
      <c r="H368" s="122" t="s">
        <v>521</v>
      </c>
      <c r="I368" s="123" t="s">
        <v>525</v>
      </c>
      <c r="J368" s="212"/>
      <c r="K368" s="212"/>
      <c r="L368" s="212"/>
      <c r="M368" s="213"/>
      <c r="N368" s="213"/>
      <c r="O368" s="213"/>
      <c r="P368" s="212"/>
      <c r="Q368" s="106" t="b">
        <f t="shared" si="23"/>
        <v>0</v>
      </c>
      <c r="R368" s="199">
        <f t="shared" si="22"/>
        <v>0</v>
      </c>
    </row>
    <row r="369" spans="1:18" x14ac:dyDescent="0.3">
      <c r="A369" s="124">
        <v>14</v>
      </c>
      <c r="B369" s="37" t="s">
        <v>9</v>
      </c>
      <c r="C369" s="38">
        <v>11</v>
      </c>
      <c r="D369" s="125" t="s">
        <v>723</v>
      </c>
      <c r="E369" s="123" t="s">
        <v>739</v>
      </c>
      <c r="F369" s="126" t="s">
        <v>52</v>
      </c>
      <c r="G369" s="131"/>
      <c r="H369" s="122" t="s">
        <v>521</v>
      </c>
      <c r="I369" s="123" t="s">
        <v>525</v>
      </c>
      <c r="J369" s="212"/>
      <c r="K369" s="212"/>
      <c r="L369" s="212"/>
      <c r="M369" s="213"/>
      <c r="N369" s="213"/>
      <c r="O369" s="213"/>
      <c r="P369" s="212"/>
      <c r="Q369" s="106" t="b">
        <f t="shared" si="23"/>
        <v>0</v>
      </c>
      <c r="R369" s="199">
        <f t="shared" si="22"/>
        <v>0</v>
      </c>
    </row>
    <row r="370" spans="1:18" x14ac:dyDescent="0.3">
      <c r="A370" s="124">
        <v>14</v>
      </c>
      <c r="B370" s="37" t="s">
        <v>9</v>
      </c>
      <c r="C370" s="38">
        <v>12</v>
      </c>
      <c r="D370" s="125" t="s">
        <v>95</v>
      </c>
      <c r="E370" s="123" t="s">
        <v>740</v>
      </c>
      <c r="F370" s="126" t="s">
        <v>52</v>
      </c>
      <c r="G370" s="131"/>
      <c r="H370" s="122" t="s">
        <v>522</v>
      </c>
      <c r="I370" s="123" t="s">
        <v>526</v>
      </c>
      <c r="J370" s="212" t="s">
        <v>1383</v>
      </c>
      <c r="K370" s="212"/>
      <c r="L370" s="212"/>
      <c r="M370" s="213"/>
      <c r="N370" s="213"/>
      <c r="O370" s="213"/>
      <c r="P370" s="212"/>
      <c r="Q370" s="106" t="b">
        <f t="shared" si="23"/>
        <v>1</v>
      </c>
      <c r="R370" s="199">
        <f t="shared" si="22"/>
        <v>1</v>
      </c>
    </row>
    <row r="371" spans="1:18" x14ac:dyDescent="0.3">
      <c r="A371" s="124">
        <v>14</v>
      </c>
      <c r="B371" s="37" t="s">
        <v>9</v>
      </c>
      <c r="C371" s="38">
        <v>13</v>
      </c>
      <c r="D371" s="181" t="s">
        <v>43</v>
      </c>
      <c r="E371" s="123" t="s">
        <v>741</v>
      </c>
      <c r="F371" s="126" t="s">
        <v>52</v>
      </c>
      <c r="G371" s="128"/>
      <c r="H371" s="122" t="s">
        <v>661</v>
      </c>
      <c r="I371" s="123" t="s">
        <v>660</v>
      </c>
      <c r="J371" s="212"/>
      <c r="K371" s="212"/>
      <c r="L371" s="212"/>
      <c r="M371" s="213"/>
      <c r="N371" s="213"/>
      <c r="O371" s="213"/>
      <c r="P371" s="212"/>
      <c r="Q371" s="106" t="b">
        <f t="shared" si="23"/>
        <v>0</v>
      </c>
      <c r="R371" s="199">
        <f t="shared" si="22"/>
        <v>0</v>
      </c>
    </row>
    <row r="372" spans="1:18" x14ac:dyDescent="0.3">
      <c r="A372" s="124">
        <v>14</v>
      </c>
      <c r="B372" s="37" t="s">
        <v>9</v>
      </c>
      <c r="C372" s="38">
        <v>14</v>
      </c>
      <c r="D372" s="125" t="s">
        <v>724</v>
      </c>
      <c r="E372" s="123" t="s">
        <v>742</v>
      </c>
      <c r="F372" s="126" t="s">
        <v>52</v>
      </c>
      <c r="G372" s="131"/>
      <c r="H372" s="122" t="s">
        <v>522</v>
      </c>
      <c r="I372" s="123" t="s">
        <v>526</v>
      </c>
      <c r="J372" s="212" t="s">
        <v>1383</v>
      </c>
      <c r="K372" s="212"/>
      <c r="L372" s="212"/>
      <c r="M372" s="213"/>
      <c r="N372" s="213"/>
      <c r="O372" s="213"/>
      <c r="P372" s="212"/>
      <c r="Q372" s="106" t="b">
        <f t="shared" si="23"/>
        <v>1</v>
      </c>
      <c r="R372" s="199">
        <f t="shared" si="22"/>
        <v>1</v>
      </c>
    </row>
    <row r="373" spans="1:18" x14ac:dyDescent="0.3">
      <c r="A373" s="124">
        <v>14</v>
      </c>
      <c r="B373" s="37" t="s">
        <v>9</v>
      </c>
      <c r="C373" s="38">
        <v>15</v>
      </c>
      <c r="D373" s="125" t="s">
        <v>725</v>
      </c>
      <c r="E373" s="123" t="s">
        <v>743</v>
      </c>
      <c r="F373" s="131"/>
      <c r="G373" s="128" t="s">
        <v>53</v>
      </c>
      <c r="H373" s="154" t="s">
        <v>521</v>
      </c>
      <c r="I373" s="155" t="s">
        <v>525</v>
      </c>
      <c r="J373" s="212"/>
      <c r="K373" s="212"/>
      <c r="L373" s="212"/>
      <c r="M373" s="213"/>
      <c r="N373" s="213"/>
      <c r="O373" s="213"/>
      <c r="P373" s="212"/>
      <c r="Q373" s="106" t="b">
        <f t="shared" si="23"/>
        <v>0</v>
      </c>
      <c r="R373" s="199">
        <f t="shared" si="22"/>
        <v>0</v>
      </c>
    </row>
    <row r="374" spans="1:18" x14ac:dyDescent="0.3">
      <c r="A374" s="124">
        <v>14</v>
      </c>
      <c r="B374" s="37" t="s">
        <v>9</v>
      </c>
      <c r="C374" s="38">
        <v>16</v>
      </c>
      <c r="D374" s="125" t="s">
        <v>726</v>
      </c>
      <c r="E374" s="123" t="s">
        <v>744</v>
      </c>
      <c r="F374" s="126" t="s">
        <v>52</v>
      </c>
      <c r="G374" s="131"/>
      <c r="H374" s="122" t="s">
        <v>521</v>
      </c>
      <c r="I374" s="123" t="s">
        <v>525</v>
      </c>
      <c r="J374" s="212" t="s">
        <v>1383</v>
      </c>
      <c r="K374" s="212" t="s">
        <v>1383</v>
      </c>
      <c r="L374" s="212"/>
      <c r="M374" s="213"/>
      <c r="N374" s="212" t="s">
        <v>1383</v>
      </c>
      <c r="O374" s="212"/>
      <c r="P374" s="212"/>
      <c r="Q374" s="106" t="b">
        <f t="shared" si="23"/>
        <v>1</v>
      </c>
      <c r="R374" s="199">
        <f t="shared" si="22"/>
        <v>3</v>
      </c>
    </row>
    <row r="375" spans="1:18" ht="19.5" thickBot="1" x14ac:dyDescent="0.35">
      <c r="A375" s="132">
        <v>14</v>
      </c>
      <c r="B375" s="39" t="s">
        <v>9</v>
      </c>
      <c r="C375" s="45">
        <v>17</v>
      </c>
      <c r="D375" s="156" t="s">
        <v>727</v>
      </c>
      <c r="E375" s="159" t="s">
        <v>745</v>
      </c>
      <c r="F375" s="157" t="s">
        <v>52</v>
      </c>
      <c r="G375" s="174"/>
      <c r="H375" s="158" t="s">
        <v>521</v>
      </c>
      <c r="I375" s="159" t="s">
        <v>525</v>
      </c>
      <c r="J375" s="221"/>
      <c r="K375" s="221"/>
      <c r="L375" s="221"/>
      <c r="M375" s="222"/>
      <c r="N375" s="222"/>
      <c r="O375" s="222"/>
      <c r="P375" s="221"/>
      <c r="Q375" s="244" t="b">
        <f t="shared" si="23"/>
        <v>0</v>
      </c>
      <c r="R375" s="202">
        <f t="shared" si="22"/>
        <v>0</v>
      </c>
    </row>
    <row r="376" spans="1:18" ht="19.5" hidden="1" thickBot="1" x14ac:dyDescent="0.3">
      <c r="A376" s="137">
        <f>A375</f>
        <v>14</v>
      </c>
      <c r="B376" s="138" t="str">
        <f>B375</f>
        <v>MARGOSATUBIG</v>
      </c>
      <c r="C376" s="15">
        <f>COUNTA(C359:C375)</f>
        <v>17</v>
      </c>
      <c r="D376" s="139" t="s">
        <v>1</v>
      </c>
      <c r="E376" s="139" t="s">
        <v>1374</v>
      </c>
      <c r="F376" s="15">
        <f>COUNTA(F359:F375)</f>
        <v>13</v>
      </c>
      <c r="G376" s="15">
        <f>COUNTA(G359:G375)</f>
        <v>4</v>
      </c>
      <c r="H376" s="291" t="s">
        <v>3</v>
      </c>
      <c r="I376" s="292"/>
      <c r="J376" s="15">
        <f t="shared" ref="J376:P376" si="26">COUNTA(J359:J375)</f>
        <v>4</v>
      </c>
      <c r="K376" s="15">
        <f t="shared" si="26"/>
        <v>1</v>
      </c>
      <c r="L376" s="15">
        <f t="shared" si="26"/>
        <v>0</v>
      </c>
      <c r="M376" s="15">
        <f t="shared" si="26"/>
        <v>0</v>
      </c>
      <c r="N376" s="15">
        <f t="shared" si="26"/>
        <v>1</v>
      </c>
      <c r="O376" s="15">
        <f t="shared" si="26"/>
        <v>0</v>
      </c>
      <c r="P376" s="15">
        <f t="shared" si="26"/>
        <v>0</v>
      </c>
      <c r="Q376" s="22">
        <f>COUNTIF(Q359:Q375,TRUE)</f>
        <v>4</v>
      </c>
      <c r="R376" s="249">
        <f>SUM(J376:P376)</f>
        <v>6</v>
      </c>
    </row>
    <row r="377" spans="1:18" x14ac:dyDescent="0.3">
      <c r="A377" s="140">
        <v>15</v>
      </c>
      <c r="B377" s="36" t="s">
        <v>777</v>
      </c>
      <c r="C377" s="46">
        <v>1</v>
      </c>
      <c r="D377" s="166" t="s">
        <v>746</v>
      </c>
      <c r="E377" s="144" t="s">
        <v>778</v>
      </c>
      <c r="F377" s="121" t="s">
        <v>52</v>
      </c>
      <c r="G377" s="165"/>
      <c r="H377" s="142" t="s">
        <v>260</v>
      </c>
      <c r="I377" s="144" t="s">
        <v>809</v>
      </c>
      <c r="J377" s="209" t="s">
        <v>1383</v>
      </c>
      <c r="K377" s="209"/>
      <c r="L377" s="209"/>
      <c r="M377" s="210"/>
      <c r="N377" s="210"/>
      <c r="O377" s="210"/>
      <c r="P377" s="209"/>
      <c r="Q377" s="106" t="b">
        <f t="shared" si="23"/>
        <v>1</v>
      </c>
      <c r="R377" s="196">
        <f t="shared" si="22"/>
        <v>1</v>
      </c>
    </row>
    <row r="378" spans="1:18" x14ac:dyDescent="0.3">
      <c r="A378" s="124">
        <v>15</v>
      </c>
      <c r="B378" s="37" t="s">
        <v>777</v>
      </c>
      <c r="C378" s="38">
        <v>2</v>
      </c>
      <c r="D378" s="125" t="s">
        <v>747</v>
      </c>
      <c r="E378" s="123" t="s">
        <v>779</v>
      </c>
      <c r="F378" s="126"/>
      <c r="G378" s="128" t="s">
        <v>53</v>
      </c>
      <c r="H378" s="154" t="s">
        <v>256</v>
      </c>
      <c r="I378" s="155" t="s">
        <v>810</v>
      </c>
      <c r="J378" s="212"/>
      <c r="K378" s="212"/>
      <c r="L378" s="212"/>
      <c r="M378" s="213"/>
      <c r="N378" s="213"/>
      <c r="O378" s="213"/>
      <c r="P378" s="212"/>
      <c r="Q378" s="106" t="b">
        <f t="shared" si="23"/>
        <v>0</v>
      </c>
      <c r="R378" s="199">
        <f t="shared" si="22"/>
        <v>0</v>
      </c>
    </row>
    <row r="379" spans="1:18" x14ac:dyDescent="0.3">
      <c r="A379" s="124">
        <v>15</v>
      </c>
      <c r="B379" s="37" t="s">
        <v>777</v>
      </c>
      <c r="C379" s="38">
        <v>3</v>
      </c>
      <c r="D379" s="125" t="s">
        <v>748</v>
      </c>
      <c r="E379" s="123" t="s">
        <v>780</v>
      </c>
      <c r="F379" s="126" t="s">
        <v>52</v>
      </c>
      <c r="G379" s="131"/>
      <c r="H379" s="122" t="s">
        <v>260</v>
      </c>
      <c r="I379" s="123" t="s">
        <v>809</v>
      </c>
      <c r="J379" s="212" t="s">
        <v>1383</v>
      </c>
      <c r="K379" s="212" t="s">
        <v>1383</v>
      </c>
      <c r="L379" s="212"/>
      <c r="M379" s="213"/>
      <c r="N379" s="213"/>
      <c r="O379" s="213"/>
      <c r="P379" s="212"/>
      <c r="Q379" s="106" t="b">
        <f t="shared" si="23"/>
        <v>1</v>
      </c>
      <c r="R379" s="199">
        <f t="shared" si="22"/>
        <v>2</v>
      </c>
    </row>
    <row r="380" spans="1:18" x14ac:dyDescent="0.3">
      <c r="A380" s="124">
        <v>15</v>
      </c>
      <c r="B380" s="37" t="s">
        <v>777</v>
      </c>
      <c r="C380" s="38">
        <v>4</v>
      </c>
      <c r="D380" s="125" t="s">
        <v>749</v>
      </c>
      <c r="E380" s="123" t="s">
        <v>781</v>
      </c>
      <c r="F380" s="126" t="s">
        <v>52</v>
      </c>
      <c r="G380" s="131"/>
      <c r="H380" s="122" t="s">
        <v>256</v>
      </c>
      <c r="I380" s="123" t="s">
        <v>810</v>
      </c>
      <c r="J380" s="212" t="s">
        <v>1383</v>
      </c>
      <c r="K380" s="212"/>
      <c r="L380" s="212"/>
      <c r="M380" s="213"/>
      <c r="N380" s="213"/>
      <c r="O380" s="213"/>
      <c r="P380" s="212"/>
      <c r="Q380" s="106" t="b">
        <f t="shared" si="23"/>
        <v>1</v>
      </c>
      <c r="R380" s="199">
        <f t="shared" si="22"/>
        <v>1</v>
      </c>
    </row>
    <row r="381" spans="1:18" x14ac:dyDescent="0.3">
      <c r="A381" s="124">
        <v>15</v>
      </c>
      <c r="B381" s="37" t="s">
        <v>777</v>
      </c>
      <c r="C381" s="38">
        <v>5</v>
      </c>
      <c r="D381" s="125" t="s">
        <v>750</v>
      </c>
      <c r="E381" s="123" t="s">
        <v>782</v>
      </c>
      <c r="F381" s="131"/>
      <c r="G381" s="128" t="s">
        <v>53</v>
      </c>
      <c r="H381" s="154" t="s">
        <v>260</v>
      </c>
      <c r="I381" s="155" t="s">
        <v>809</v>
      </c>
      <c r="J381" s="212"/>
      <c r="K381" s="212"/>
      <c r="L381" s="212"/>
      <c r="M381" s="213"/>
      <c r="N381" s="213"/>
      <c r="O381" s="213"/>
      <c r="P381" s="212"/>
      <c r="Q381" s="106" t="b">
        <f t="shared" si="23"/>
        <v>0</v>
      </c>
      <c r="R381" s="199">
        <f t="shared" si="22"/>
        <v>0</v>
      </c>
    </row>
    <row r="382" spans="1:18" x14ac:dyDescent="0.3">
      <c r="A382" s="124">
        <v>15</v>
      </c>
      <c r="B382" s="37" t="s">
        <v>777</v>
      </c>
      <c r="C382" s="38">
        <v>6</v>
      </c>
      <c r="D382" s="125" t="s">
        <v>751</v>
      </c>
      <c r="E382" s="123" t="s">
        <v>259</v>
      </c>
      <c r="F382" s="126" t="s">
        <v>52</v>
      </c>
      <c r="G382" s="131"/>
      <c r="H382" s="122" t="s">
        <v>413</v>
      </c>
      <c r="I382" s="123" t="s">
        <v>412</v>
      </c>
      <c r="J382" s="212" t="s">
        <v>1383</v>
      </c>
      <c r="K382" s="212"/>
      <c r="L382" s="212"/>
      <c r="M382" s="213"/>
      <c r="N382" s="212" t="s">
        <v>1383</v>
      </c>
      <c r="O382" s="212"/>
      <c r="P382" s="212"/>
      <c r="Q382" s="106" t="b">
        <f t="shared" si="23"/>
        <v>1</v>
      </c>
      <c r="R382" s="199">
        <f t="shared" si="22"/>
        <v>2</v>
      </c>
    </row>
    <row r="383" spans="1:18" x14ac:dyDescent="0.3">
      <c r="A383" s="124">
        <v>15</v>
      </c>
      <c r="B383" s="37" t="s">
        <v>777</v>
      </c>
      <c r="C383" s="38">
        <v>7</v>
      </c>
      <c r="D383" s="125" t="s">
        <v>752</v>
      </c>
      <c r="E383" s="123" t="s">
        <v>783</v>
      </c>
      <c r="F383" s="126" t="s">
        <v>52</v>
      </c>
      <c r="G383" s="131"/>
      <c r="H383" s="122" t="s">
        <v>256</v>
      </c>
      <c r="I383" s="123" t="s">
        <v>810</v>
      </c>
      <c r="J383" s="212" t="s">
        <v>1383</v>
      </c>
      <c r="K383" s="212"/>
      <c r="L383" s="212"/>
      <c r="M383" s="213"/>
      <c r="N383" s="213"/>
      <c r="O383" s="213"/>
      <c r="P383" s="212"/>
      <c r="Q383" s="106" t="b">
        <f t="shared" si="23"/>
        <v>1</v>
      </c>
      <c r="R383" s="199">
        <f t="shared" si="22"/>
        <v>1</v>
      </c>
    </row>
    <row r="384" spans="1:18" x14ac:dyDescent="0.3">
      <c r="A384" s="124">
        <v>15</v>
      </c>
      <c r="B384" s="37" t="s">
        <v>777</v>
      </c>
      <c r="C384" s="38">
        <v>8</v>
      </c>
      <c r="D384" s="125" t="s">
        <v>753</v>
      </c>
      <c r="E384" s="123" t="s">
        <v>261</v>
      </c>
      <c r="F384" s="126" t="s">
        <v>52</v>
      </c>
      <c r="G384" s="131"/>
      <c r="H384" s="122" t="s">
        <v>413</v>
      </c>
      <c r="I384" s="123" t="s">
        <v>412</v>
      </c>
      <c r="J384" s="212" t="s">
        <v>1383</v>
      </c>
      <c r="K384" s="212"/>
      <c r="L384" s="212" t="s">
        <v>1383</v>
      </c>
      <c r="M384" s="213"/>
      <c r="N384" s="212"/>
      <c r="O384" s="212"/>
      <c r="P384" s="212" t="s">
        <v>1383</v>
      </c>
      <c r="Q384" s="106" t="b">
        <f t="shared" si="23"/>
        <v>1</v>
      </c>
      <c r="R384" s="199">
        <f t="shared" si="22"/>
        <v>3</v>
      </c>
    </row>
    <row r="385" spans="1:18" x14ac:dyDescent="0.3">
      <c r="A385" s="124">
        <v>15</v>
      </c>
      <c r="B385" s="37" t="s">
        <v>777</v>
      </c>
      <c r="C385" s="38">
        <v>9</v>
      </c>
      <c r="D385" s="125" t="s">
        <v>754</v>
      </c>
      <c r="E385" s="123" t="s">
        <v>784</v>
      </c>
      <c r="F385" s="131"/>
      <c r="G385" s="128" t="s">
        <v>53</v>
      </c>
      <c r="H385" s="154" t="s">
        <v>256</v>
      </c>
      <c r="I385" s="155" t="s">
        <v>810</v>
      </c>
      <c r="J385" s="212"/>
      <c r="K385" s="212"/>
      <c r="L385" s="212"/>
      <c r="M385" s="213"/>
      <c r="N385" s="213"/>
      <c r="O385" s="213"/>
      <c r="P385" s="212"/>
      <c r="Q385" s="106" t="b">
        <f t="shared" si="23"/>
        <v>0</v>
      </c>
      <c r="R385" s="199">
        <f t="shared" si="22"/>
        <v>0</v>
      </c>
    </row>
    <row r="386" spans="1:18" x14ac:dyDescent="0.3">
      <c r="A386" s="124">
        <v>15</v>
      </c>
      <c r="B386" s="37" t="s">
        <v>777</v>
      </c>
      <c r="C386" s="38">
        <v>10</v>
      </c>
      <c r="D386" s="125" t="s">
        <v>755</v>
      </c>
      <c r="E386" s="123" t="s">
        <v>785</v>
      </c>
      <c r="F386" s="131"/>
      <c r="G386" s="128" t="s">
        <v>53</v>
      </c>
      <c r="H386" s="154" t="s">
        <v>260</v>
      </c>
      <c r="I386" s="155" t="s">
        <v>809</v>
      </c>
      <c r="J386" s="212"/>
      <c r="K386" s="212"/>
      <c r="L386" s="212"/>
      <c r="M386" s="213"/>
      <c r="N386" s="213"/>
      <c r="O386" s="213"/>
      <c r="P386" s="212"/>
      <c r="Q386" s="106" t="b">
        <f t="shared" si="23"/>
        <v>0</v>
      </c>
      <c r="R386" s="199">
        <f t="shared" si="22"/>
        <v>0</v>
      </c>
    </row>
    <row r="387" spans="1:18" x14ac:dyDescent="0.3">
      <c r="A387" s="124">
        <v>15</v>
      </c>
      <c r="B387" s="37" t="s">
        <v>777</v>
      </c>
      <c r="C387" s="38">
        <v>11</v>
      </c>
      <c r="D387" s="125" t="s">
        <v>756</v>
      </c>
      <c r="E387" s="123" t="s">
        <v>786</v>
      </c>
      <c r="F387" s="126" t="s">
        <v>52</v>
      </c>
      <c r="G387" s="131"/>
      <c r="H387" s="122" t="s">
        <v>260</v>
      </c>
      <c r="I387" s="123" t="s">
        <v>809</v>
      </c>
      <c r="J387" s="212" t="s">
        <v>1383</v>
      </c>
      <c r="K387" s="212"/>
      <c r="L387" s="212"/>
      <c r="M387" s="213"/>
      <c r="N387" s="213"/>
      <c r="O387" s="213"/>
      <c r="P387" s="212"/>
      <c r="Q387" s="106" t="b">
        <f t="shared" si="23"/>
        <v>1</v>
      </c>
      <c r="R387" s="199">
        <f t="shared" si="22"/>
        <v>1</v>
      </c>
    </row>
    <row r="388" spans="1:18" x14ac:dyDescent="0.3">
      <c r="A388" s="124">
        <v>15</v>
      </c>
      <c r="B388" s="37" t="s">
        <v>777</v>
      </c>
      <c r="C388" s="38">
        <v>12</v>
      </c>
      <c r="D388" s="125" t="s">
        <v>757</v>
      </c>
      <c r="E388" s="123" t="s">
        <v>787</v>
      </c>
      <c r="F388" s="126" t="s">
        <v>52</v>
      </c>
      <c r="G388" s="131"/>
      <c r="H388" s="122" t="s">
        <v>256</v>
      </c>
      <c r="I388" s="123" t="s">
        <v>810</v>
      </c>
      <c r="J388" s="212" t="s">
        <v>1383</v>
      </c>
      <c r="K388" s="212"/>
      <c r="L388" s="212"/>
      <c r="M388" s="213"/>
      <c r="N388" s="213"/>
      <c r="O388" s="213"/>
      <c r="P388" s="212"/>
      <c r="Q388" s="106" t="b">
        <f t="shared" si="23"/>
        <v>1</v>
      </c>
      <c r="R388" s="199">
        <f t="shared" ref="R388:R451" si="27">COUNTA(J388:P388)</f>
        <v>1</v>
      </c>
    </row>
    <row r="389" spans="1:18" x14ac:dyDescent="0.3">
      <c r="A389" s="124">
        <v>15</v>
      </c>
      <c r="B389" s="37" t="s">
        <v>777</v>
      </c>
      <c r="C389" s="38">
        <v>13</v>
      </c>
      <c r="D389" s="125" t="s">
        <v>758</v>
      </c>
      <c r="E389" s="123" t="s">
        <v>788</v>
      </c>
      <c r="F389" s="126" t="s">
        <v>52</v>
      </c>
      <c r="G389" s="131"/>
      <c r="H389" s="122" t="s">
        <v>256</v>
      </c>
      <c r="I389" s="123" t="s">
        <v>810</v>
      </c>
      <c r="J389" s="212" t="s">
        <v>1383</v>
      </c>
      <c r="K389" s="212"/>
      <c r="L389" s="212"/>
      <c r="M389" s="213"/>
      <c r="N389" s="213"/>
      <c r="O389" s="213"/>
      <c r="P389" s="212"/>
      <c r="Q389" s="106" t="b">
        <f t="shared" si="23"/>
        <v>1</v>
      </c>
      <c r="R389" s="199">
        <f t="shared" si="27"/>
        <v>1</v>
      </c>
    </row>
    <row r="390" spans="1:18" x14ac:dyDescent="0.3">
      <c r="A390" s="124">
        <v>15</v>
      </c>
      <c r="B390" s="37" t="s">
        <v>777</v>
      </c>
      <c r="C390" s="38">
        <v>14</v>
      </c>
      <c r="D390" s="125" t="s">
        <v>759</v>
      </c>
      <c r="E390" s="123" t="s">
        <v>789</v>
      </c>
      <c r="F390" s="126" t="s">
        <v>52</v>
      </c>
      <c r="G390" s="131"/>
      <c r="H390" s="122" t="s">
        <v>256</v>
      </c>
      <c r="I390" s="123" t="s">
        <v>810</v>
      </c>
      <c r="J390" s="212" t="s">
        <v>1383</v>
      </c>
      <c r="K390" s="212"/>
      <c r="L390" s="212"/>
      <c r="M390" s="213"/>
      <c r="N390" s="213"/>
      <c r="O390" s="213"/>
      <c r="P390" s="212"/>
      <c r="Q390" s="106" t="b">
        <f t="shared" ref="Q390:Q453" si="28">IF(COUNTA(J390:P390)=0,FALSE,TRUE)</f>
        <v>1</v>
      </c>
      <c r="R390" s="199">
        <f t="shared" si="27"/>
        <v>1</v>
      </c>
    </row>
    <row r="391" spans="1:18" x14ac:dyDescent="0.3">
      <c r="A391" s="124">
        <v>15</v>
      </c>
      <c r="B391" s="37" t="s">
        <v>777</v>
      </c>
      <c r="C391" s="38">
        <v>15</v>
      </c>
      <c r="D391" s="125" t="s">
        <v>760</v>
      </c>
      <c r="E391" s="123" t="s">
        <v>790</v>
      </c>
      <c r="F391" s="126" t="s">
        <v>52</v>
      </c>
      <c r="G391" s="128"/>
      <c r="H391" s="122" t="s">
        <v>256</v>
      </c>
      <c r="I391" s="123" t="s">
        <v>810</v>
      </c>
      <c r="J391" s="212"/>
      <c r="K391" s="212"/>
      <c r="L391" s="212"/>
      <c r="M391" s="213"/>
      <c r="N391" s="213"/>
      <c r="O391" s="213"/>
      <c r="P391" s="212"/>
      <c r="Q391" s="106" t="b">
        <f t="shared" si="28"/>
        <v>0</v>
      </c>
      <c r="R391" s="199">
        <f t="shared" si="27"/>
        <v>0</v>
      </c>
    </row>
    <row r="392" spans="1:18" x14ac:dyDescent="0.3">
      <c r="A392" s="124">
        <v>15</v>
      </c>
      <c r="B392" s="37" t="s">
        <v>777</v>
      </c>
      <c r="C392" s="38">
        <v>16</v>
      </c>
      <c r="D392" s="125" t="s">
        <v>761</v>
      </c>
      <c r="E392" s="123" t="s">
        <v>791</v>
      </c>
      <c r="F392" s="126" t="s">
        <v>52</v>
      </c>
      <c r="G392" s="131"/>
      <c r="H392" s="122" t="s">
        <v>260</v>
      </c>
      <c r="I392" s="123" t="s">
        <v>809</v>
      </c>
      <c r="J392" s="212" t="s">
        <v>1383</v>
      </c>
      <c r="K392" s="212"/>
      <c r="L392" s="212"/>
      <c r="M392" s="213"/>
      <c r="N392" s="213"/>
      <c r="O392" s="213"/>
      <c r="P392" s="212"/>
      <c r="Q392" s="106" t="b">
        <f t="shared" si="28"/>
        <v>1</v>
      </c>
      <c r="R392" s="199">
        <f t="shared" si="27"/>
        <v>1</v>
      </c>
    </row>
    <row r="393" spans="1:18" x14ac:dyDescent="0.3">
      <c r="A393" s="124">
        <v>15</v>
      </c>
      <c r="B393" s="37" t="s">
        <v>777</v>
      </c>
      <c r="C393" s="38">
        <v>17</v>
      </c>
      <c r="D393" s="125" t="s">
        <v>73</v>
      </c>
      <c r="E393" s="123" t="s">
        <v>792</v>
      </c>
      <c r="F393" s="131"/>
      <c r="G393" s="128" t="s">
        <v>53</v>
      </c>
      <c r="H393" s="154" t="s">
        <v>256</v>
      </c>
      <c r="I393" s="155" t="s">
        <v>810</v>
      </c>
      <c r="J393" s="212"/>
      <c r="K393" s="212"/>
      <c r="L393" s="212"/>
      <c r="M393" s="213"/>
      <c r="N393" s="213"/>
      <c r="O393" s="213"/>
      <c r="P393" s="212"/>
      <c r="Q393" s="106" t="b">
        <f t="shared" si="28"/>
        <v>0</v>
      </c>
      <c r="R393" s="199">
        <f t="shared" si="27"/>
        <v>0</v>
      </c>
    </row>
    <row r="394" spans="1:18" x14ac:dyDescent="0.3">
      <c r="A394" s="124">
        <v>15</v>
      </c>
      <c r="B394" s="37" t="s">
        <v>777</v>
      </c>
      <c r="C394" s="38">
        <v>18</v>
      </c>
      <c r="D394" s="125" t="s">
        <v>762</v>
      </c>
      <c r="E394" s="123" t="s">
        <v>793</v>
      </c>
      <c r="F394" s="131"/>
      <c r="G394" s="128" t="s">
        <v>53</v>
      </c>
      <c r="H394" s="154" t="s">
        <v>256</v>
      </c>
      <c r="I394" s="155" t="s">
        <v>810</v>
      </c>
      <c r="J394" s="212"/>
      <c r="K394" s="212"/>
      <c r="L394" s="212"/>
      <c r="M394" s="213"/>
      <c r="N394" s="213"/>
      <c r="O394" s="213"/>
      <c r="P394" s="212"/>
      <c r="Q394" s="106" t="b">
        <f t="shared" si="28"/>
        <v>0</v>
      </c>
      <c r="R394" s="199">
        <f t="shared" si="27"/>
        <v>0</v>
      </c>
    </row>
    <row r="395" spans="1:18" x14ac:dyDescent="0.3">
      <c r="A395" s="124">
        <v>15</v>
      </c>
      <c r="B395" s="37" t="s">
        <v>777</v>
      </c>
      <c r="C395" s="38">
        <v>19</v>
      </c>
      <c r="D395" s="125" t="s">
        <v>763</v>
      </c>
      <c r="E395" s="123" t="s">
        <v>794</v>
      </c>
      <c r="F395" s="126"/>
      <c r="G395" s="128" t="s">
        <v>53</v>
      </c>
      <c r="H395" s="154" t="s">
        <v>260</v>
      </c>
      <c r="I395" s="155" t="s">
        <v>809</v>
      </c>
      <c r="J395" s="212" t="s">
        <v>1383</v>
      </c>
      <c r="K395" s="212"/>
      <c r="L395" s="212"/>
      <c r="M395" s="213"/>
      <c r="N395" s="213"/>
      <c r="O395" s="213"/>
      <c r="P395" s="212"/>
      <c r="Q395" s="106" t="b">
        <f t="shared" si="28"/>
        <v>1</v>
      </c>
      <c r="R395" s="199">
        <f t="shared" si="27"/>
        <v>1</v>
      </c>
    </row>
    <row r="396" spans="1:18" x14ac:dyDescent="0.3">
      <c r="A396" s="124">
        <v>15</v>
      </c>
      <c r="B396" s="37" t="s">
        <v>777</v>
      </c>
      <c r="C396" s="38">
        <v>20</v>
      </c>
      <c r="D396" s="125" t="s">
        <v>588</v>
      </c>
      <c r="E396" s="123" t="s">
        <v>795</v>
      </c>
      <c r="F396" s="126"/>
      <c r="G396" s="128" t="s">
        <v>53</v>
      </c>
      <c r="H396" s="154" t="s">
        <v>260</v>
      </c>
      <c r="I396" s="155" t="s">
        <v>809</v>
      </c>
      <c r="J396" s="212"/>
      <c r="K396" s="212"/>
      <c r="L396" s="212"/>
      <c r="M396" s="213"/>
      <c r="N396" s="213"/>
      <c r="O396" s="213"/>
      <c r="P396" s="212"/>
      <c r="Q396" s="106" t="b">
        <f t="shared" si="28"/>
        <v>0</v>
      </c>
      <c r="R396" s="199">
        <f t="shared" si="27"/>
        <v>0</v>
      </c>
    </row>
    <row r="397" spans="1:18" x14ac:dyDescent="0.3">
      <c r="A397" s="124">
        <v>15</v>
      </c>
      <c r="B397" s="37" t="s">
        <v>777</v>
      </c>
      <c r="C397" s="38">
        <v>21</v>
      </c>
      <c r="D397" s="125" t="s">
        <v>764</v>
      </c>
      <c r="E397" s="123" t="s">
        <v>796</v>
      </c>
      <c r="F397" s="131"/>
      <c r="G397" s="128" t="s">
        <v>53</v>
      </c>
      <c r="H397" s="154" t="s">
        <v>256</v>
      </c>
      <c r="I397" s="155" t="s">
        <v>810</v>
      </c>
      <c r="J397" s="212"/>
      <c r="K397" s="212"/>
      <c r="L397" s="212"/>
      <c r="M397" s="213"/>
      <c r="N397" s="213"/>
      <c r="O397" s="213"/>
      <c r="P397" s="212"/>
      <c r="Q397" s="106" t="b">
        <f t="shared" si="28"/>
        <v>0</v>
      </c>
      <c r="R397" s="199">
        <f t="shared" si="27"/>
        <v>0</v>
      </c>
    </row>
    <row r="398" spans="1:18" x14ac:dyDescent="0.3">
      <c r="A398" s="124">
        <v>15</v>
      </c>
      <c r="B398" s="37" t="s">
        <v>777</v>
      </c>
      <c r="C398" s="38">
        <v>22</v>
      </c>
      <c r="D398" s="125" t="s">
        <v>765</v>
      </c>
      <c r="E398" s="123" t="s">
        <v>797</v>
      </c>
      <c r="F398" s="126" t="s">
        <v>52</v>
      </c>
      <c r="G398" s="131"/>
      <c r="H398" s="122" t="s">
        <v>256</v>
      </c>
      <c r="I398" s="123" t="s">
        <v>810</v>
      </c>
      <c r="J398" s="212" t="s">
        <v>1383</v>
      </c>
      <c r="K398" s="212"/>
      <c r="L398" s="212"/>
      <c r="M398" s="213"/>
      <c r="N398" s="213"/>
      <c r="O398" s="213"/>
      <c r="P398" s="212"/>
      <c r="Q398" s="106" t="b">
        <f t="shared" si="28"/>
        <v>1</v>
      </c>
      <c r="R398" s="199">
        <f t="shared" si="27"/>
        <v>1</v>
      </c>
    </row>
    <row r="399" spans="1:18" x14ac:dyDescent="0.3">
      <c r="A399" s="124">
        <v>15</v>
      </c>
      <c r="B399" s="37" t="s">
        <v>777</v>
      </c>
      <c r="C399" s="38">
        <v>23</v>
      </c>
      <c r="D399" s="125" t="s">
        <v>766</v>
      </c>
      <c r="E399" s="123" t="s">
        <v>798</v>
      </c>
      <c r="F399" s="126" t="s">
        <v>52</v>
      </c>
      <c r="G399" s="128"/>
      <c r="H399" s="122" t="s">
        <v>256</v>
      </c>
      <c r="I399" s="123" t="s">
        <v>810</v>
      </c>
      <c r="J399" s="212"/>
      <c r="K399" s="212"/>
      <c r="L399" s="212"/>
      <c r="M399" s="213"/>
      <c r="N399" s="213"/>
      <c r="O399" s="213"/>
      <c r="P399" s="212"/>
      <c r="Q399" s="106" t="b">
        <f t="shared" si="28"/>
        <v>0</v>
      </c>
      <c r="R399" s="199">
        <f t="shared" si="27"/>
        <v>0</v>
      </c>
    </row>
    <row r="400" spans="1:18" x14ac:dyDescent="0.3">
      <c r="A400" s="124">
        <v>15</v>
      </c>
      <c r="B400" s="37" t="s">
        <v>777</v>
      </c>
      <c r="C400" s="38">
        <v>24</v>
      </c>
      <c r="D400" s="125" t="s">
        <v>767</v>
      </c>
      <c r="E400" s="123" t="s">
        <v>799</v>
      </c>
      <c r="F400" s="131"/>
      <c r="G400" s="128" t="s">
        <v>53</v>
      </c>
      <c r="H400" s="154" t="s">
        <v>256</v>
      </c>
      <c r="I400" s="155" t="s">
        <v>810</v>
      </c>
      <c r="J400" s="212"/>
      <c r="K400" s="212"/>
      <c r="L400" s="212"/>
      <c r="M400" s="213"/>
      <c r="N400" s="213"/>
      <c r="O400" s="213"/>
      <c r="P400" s="212"/>
      <c r="Q400" s="106" t="b">
        <f t="shared" si="28"/>
        <v>0</v>
      </c>
      <c r="R400" s="199">
        <f t="shared" si="27"/>
        <v>0</v>
      </c>
    </row>
    <row r="401" spans="1:18" x14ac:dyDescent="0.3">
      <c r="A401" s="124">
        <v>15</v>
      </c>
      <c r="B401" s="37" t="s">
        <v>777</v>
      </c>
      <c r="C401" s="38">
        <v>25</v>
      </c>
      <c r="D401" s="125" t="s">
        <v>768</v>
      </c>
      <c r="E401" s="123" t="s">
        <v>800</v>
      </c>
      <c r="F401" s="131"/>
      <c r="G401" s="128" t="s">
        <v>53</v>
      </c>
      <c r="H401" s="154" t="s">
        <v>256</v>
      </c>
      <c r="I401" s="155" t="s">
        <v>810</v>
      </c>
      <c r="J401" s="212"/>
      <c r="K401" s="212"/>
      <c r="L401" s="212"/>
      <c r="M401" s="213"/>
      <c r="N401" s="213"/>
      <c r="O401" s="213"/>
      <c r="P401" s="212"/>
      <c r="Q401" s="106" t="b">
        <f t="shared" si="28"/>
        <v>0</v>
      </c>
      <c r="R401" s="199">
        <f t="shared" si="27"/>
        <v>0</v>
      </c>
    </row>
    <row r="402" spans="1:18" x14ac:dyDescent="0.3">
      <c r="A402" s="124">
        <v>15</v>
      </c>
      <c r="B402" s="37" t="s">
        <v>777</v>
      </c>
      <c r="C402" s="38">
        <v>26</v>
      </c>
      <c r="D402" s="125" t="s">
        <v>769</v>
      </c>
      <c r="E402" s="123" t="s">
        <v>801</v>
      </c>
      <c r="F402" s="131"/>
      <c r="G402" s="128" t="s">
        <v>53</v>
      </c>
      <c r="H402" s="154" t="s">
        <v>256</v>
      </c>
      <c r="I402" s="155" t="s">
        <v>810</v>
      </c>
      <c r="J402" s="212"/>
      <c r="K402" s="212"/>
      <c r="L402" s="212"/>
      <c r="M402" s="213"/>
      <c r="N402" s="213"/>
      <c r="O402" s="213"/>
      <c r="P402" s="212"/>
      <c r="Q402" s="106" t="b">
        <f t="shared" si="28"/>
        <v>0</v>
      </c>
      <c r="R402" s="199">
        <f t="shared" si="27"/>
        <v>0</v>
      </c>
    </row>
    <row r="403" spans="1:18" x14ac:dyDescent="0.3">
      <c r="A403" s="124">
        <v>15</v>
      </c>
      <c r="B403" s="37" t="s">
        <v>777</v>
      </c>
      <c r="C403" s="38">
        <v>27</v>
      </c>
      <c r="D403" s="125" t="s">
        <v>770</v>
      </c>
      <c r="E403" s="123" t="s">
        <v>802</v>
      </c>
      <c r="F403" s="131"/>
      <c r="G403" s="128" t="s">
        <v>53</v>
      </c>
      <c r="H403" s="154" t="s">
        <v>256</v>
      </c>
      <c r="I403" s="155" t="s">
        <v>810</v>
      </c>
      <c r="J403" s="212"/>
      <c r="K403" s="212"/>
      <c r="L403" s="212"/>
      <c r="M403" s="213"/>
      <c r="N403" s="213"/>
      <c r="O403" s="213"/>
      <c r="P403" s="212"/>
      <c r="Q403" s="106" t="b">
        <f t="shared" si="28"/>
        <v>0</v>
      </c>
      <c r="R403" s="199">
        <f t="shared" si="27"/>
        <v>0</v>
      </c>
    </row>
    <row r="404" spans="1:18" x14ac:dyDescent="0.3">
      <c r="A404" s="124">
        <v>15</v>
      </c>
      <c r="B404" s="37" t="s">
        <v>777</v>
      </c>
      <c r="C404" s="38">
        <v>28</v>
      </c>
      <c r="D404" s="181" t="s">
        <v>776</v>
      </c>
      <c r="E404" s="123" t="s">
        <v>803</v>
      </c>
      <c r="F404" s="126" t="s">
        <v>52</v>
      </c>
      <c r="G404" s="131"/>
      <c r="H404" s="122" t="s">
        <v>256</v>
      </c>
      <c r="I404" s="123" t="s">
        <v>810</v>
      </c>
      <c r="J404" s="212" t="s">
        <v>1383</v>
      </c>
      <c r="K404" s="212"/>
      <c r="L404" s="212"/>
      <c r="M404" s="213"/>
      <c r="N404" s="213"/>
      <c r="O404" s="213"/>
      <c r="P404" s="212"/>
      <c r="Q404" s="106" t="b">
        <f t="shared" si="28"/>
        <v>1</v>
      </c>
      <c r="R404" s="199">
        <f t="shared" si="27"/>
        <v>1</v>
      </c>
    </row>
    <row r="405" spans="1:18" x14ac:dyDescent="0.3">
      <c r="A405" s="124">
        <v>15</v>
      </c>
      <c r="B405" s="37" t="s">
        <v>777</v>
      </c>
      <c r="C405" s="38">
        <v>29</v>
      </c>
      <c r="D405" s="125" t="s">
        <v>771</v>
      </c>
      <c r="E405" s="123" t="s">
        <v>804</v>
      </c>
      <c r="F405" s="126" t="s">
        <v>52</v>
      </c>
      <c r="G405" s="131"/>
      <c r="H405" s="122" t="s">
        <v>256</v>
      </c>
      <c r="I405" s="123" t="s">
        <v>810</v>
      </c>
      <c r="J405" s="212" t="s">
        <v>1383</v>
      </c>
      <c r="K405" s="212"/>
      <c r="L405" s="212"/>
      <c r="M405" s="213"/>
      <c r="N405" s="213"/>
      <c r="O405" s="213"/>
      <c r="P405" s="212"/>
      <c r="Q405" s="106" t="b">
        <f t="shared" si="28"/>
        <v>1</v>
      </c>
      <c r="R405" s="199">
        <f t="shared" si="27"/>
        <v>1</v>
      </c>
    </row>
    <row r="406" spans="1:18" x14ac:dyDescent="0.3">
      <c r="A406" s="124">
        <v>15</v>
      </c>
      <c r="B406" s="37" t="s">
        <v>777</v>
      </c>
      <c r="C406" s="38">
        <v>30</v>
      </c>
      <c r="D406" s="125" t="s">
        <v>772</v>
      </c>
      <c r="E406" s="123" t="s">
        <v>805</v>
      </c>
      <c r="F406" s="131"/>
      <c r="G406" s="128" t="s">
        <v>53</v>
      </c>
      <c r="H406" s="154" t="s">
        <v>260</v>
      </c>
      <c r="I406" s="155" t="s">
        <v>809</v>
      </c>
      <c r="J406" s="212"/>
      <c r="K406" s="212"/>
      <c r="L406" s="212"/>
      <c r="M406" s="213"/>
      <c r="N406" s="213"/>
      <c r="O406" s="213"/>
      <c r="P406" s="212"/>
      <c r="Q406" s="106" t="b">
        <f t="shared" si="28"/>
        <v>0</v>
      </c>
      <c r="R406" s="199">
        <f t="shared" si="27"/>
        <v>0</v>
      </c>
    </row>
    <row r="407" spans="1:18" x14ac:dyDescent="0.3">
      <c r="A407" s="124">
        <v>15</v>
      </c>
      <c r="B407" s="37" t="s">
        <v>777</v>
      </c>
      <c r="C407" s="38">
        <v>31</v>
      </c>
      <c r="D407" s="125" t="s">
        <v>773</v>
      </c>
      <c r="E407" s="123" t="s">
        <v>806</v>
      </c>
      <c r="F407" s="126" t="s">
        <v>52</v>
      </c>
      <c r="G407" s="131"/>
      <c r="H407" s="122" t="s">
        <v>260</v>
      </c>
      <c r="I407" s="123" t="s">
        <v>809</v>
      </c>
      <c r="J407" s="212" t="s">
        <v>1383</v>
      </c>
      <c r="K407" s="212"/>
      <c r="L407" s="212"/>
      <c r="M407" s="213"/>
      <c r="N407" s="213"/>
      <c r="O407" s="213"/>
      <c r="P407" s="212"/>
      <c r="Q407" s="106" t="b">
        <f t="shared" si="28"/>
        <v>1</v>
      </c>
      <c r="R407" s="199">
        <f t="shared" si="27"/>
        <v>1</v>
      </c>
    </row>
    <row r="408" spans="1:18" x14ac:dyDescent="0.3">
      <c r="A408" s="124">
        <v>15</v>
      </c>
      <c r="B408" s="37" t="s">
        <v>777</v>
      </c>
      <c r="C408" s="38">
        <v>32</v>
      </c>
      <c r="D408" s="125" t="s">
        <v>774</v>
      </c>
      <c r="E408" s="123" t="s">
        <v>807</v>
      </c>
      <c r="F408" s="126" t="s">
        <v>52</v>
      </c>
      <c r="G408" s="131"/>
      <c r="H408" s="122" t="s">
        <v>256</v>
      </c>
      <c r="I408" s="123" t="s">
        <v>810</v>
      </c>
      <c r="J408" s="212"/>
      <c r="K408" s="212"/>
      <c r="L408" s="212"/>
      <c r="M408" s="213"/>
      <c r="N408" s="213"/>
      <c r="O408" s="213"/>
      <c r="P408" s="212"/>
      <c r="Q408" s="106" t="b">
        <f t="shared" si="28"/>
        <v>0</v>
      </c>
      <c r="R408" s="199">
        <f t="shared" si="27"/>
        <v>0</v>
      </c>
    </row>
    <row r="409" spans="1:18" ht="19.5" thickBot="1" x14ac:dyDescent="0.35">
      <c r="A409" s="161">
        <v>15</v>
      </c>
      <c r="B409" s="47" t="s">
        <v>777</v>
      </c>
      <c r="C409" s="48">
        <v>33</v>
      </c>
      <c r="D409" s="146" t="s">
        <v>775</v>
      </c>
      <c r="E409" s="148" t="s">
        <v>808</v>
      </c>
      <c r="F409" s="167"/>
      <c r="G409" s="143" t="s">
        <v>53</v>
      </c>
      <c r="H409" s="225" t="s">
        <v>256</v>
      </c>
      <c r="I409" s="226" t="s">
        <v>810</v>
      </c>
      <c r="J409" s="215"/>
      <c r="K409" s="215"/>
      <c r="L409" s="215"/>
      <c r="M409" s="216"/>
      <c r="N409" s="216"/>
      <c r="O409" s="216"/>
      <c r="P409" s="215"/>
      <c r="Q409" s="106" t="b">
        <f t="shared" si="28"/>
        <v>0</v>
      </c>
      <c r="R409" s="205">
        <f t="shared" si="27"/>
        <v>0</v>
      </c>
    </row>
    <row r="410" spans="1:18" ht="19.5" hidden="1" thickBot="1" x14ac:dyDescent="0.3">
      <c r="A410" s="137">
        <f>A409</f>
        <v>15</v>
      </c>
      <c r="B410" s="138" t="str">
        <f>B409</f>
        <v>MIDSALIP</v>
      </c>
      <c r="C410" s="15">
        <f>COUNTA(C377:C409)</f>
        <v>33</v>
      </c>
      <c r="D410" s="139" t="s">
        <v>1</v>
      </c>
      <c r="E410" s="139" t="s">
        <v>1374</v>
      </c>
      <c r="F410" s="15">
        <f>COUNTA(F377:F409)</f>
        <v>18</v>
      </c>
      <c r="G410" s="15">
        <f>COUNTA(G377:G409)</f>
        <v>15</v>
      </c>
      <c r="H410" s="297" t="s">
        <v>3</v>
      </c>
      <c r="I410" s="297"/>
      <c r="J410" s="15">
        <f t="shared" ref="J410:P410" si="29">COUNTA(J377:J409)</f>
        <v>16</v>
      </c>
      <c r="K410" s="15">
        <f t="shared" si="29"/>
        <v>1</v>
      </c>
      <c r="L410" s="15">
        <f t="shared" si="29"/>
        <v>1</v>
      </c>
      <c r="M410" s="15">
        <f>COUNTA(M377:M409)</f>
        <v>0</v>
      </c>
      <c r="N410" s="15">
        <f t="shared" si="29"/>
        <v>1</v>
      </c>
      <c r="O410" s="15">
        <f t="shared" si="29"/>
        <v>0</v>
      </c>
      <c r="P410" s="15">
        <f t="shared" si="29"/>
        <v>1</v>
      </c>
      <c r="Q410" s="22">
        <f>COUNTIF(Q377:Q409,TRUE)</f>
        <v>16</v>
      </c>
      <c r="R410" s="249">
        <f>SUM(J410:P410)</f>
        <v>20</v>
      </c>
    </row>
    <row r="411" spans="1:18" x14ac:dyDescent="0.3">
      <c r="A411" s="119">
        <v>16</v>
      </c>
      <c r="B411" s="41" t="s">
        <v>834</v>
      </c>
      <c r="C411" s="44">
        <v>1</v>
      </c>
      <c r="D411" s="187" t="s">
        <v>811</v>
      </c>
      <c r="E411" s="153" t="s">
        <v>835</v>
      </c>
      <c r="F411" s="151" t="s">
        <v>52</v>
      </c>
      <c r="G411" s="168"/>
      <c r="H411" s="152" t="s">
        <v>262</v>
      </c>
      <c r="I411" s="153" t="s">
        <v>580</v>
      </c>
      <c r="J411" s="218" t="s">
        <v>1383</v>
      </c>
      <c r="K411" s="218"/>
      <c r="L411" s="218"/>
      <c r="M411" s="218"/>
      <c r="N411" s="218" t="s">
        <v>1383</v>
      </c>
      <c r="O411" s="218"/>
      <c r="P411" s="218"/>
      <c r="Q411" s="247" t="b">
        <f t="shared" si="28"/>
        <v>1</v>
      </c>
      <c r="R411" s="208">
        <f t="shared" si="27"/>
        <v>2</v>
      </c>
    </row>
    <row r="412" spans="1:18" x14ac:dyDescent="0.3">
      <c r="A412" s="124">
        <v>16</v>
      </c>
      <c r="B412" s="37" t="s">
        <v>834</v>
      </c>
      <c r="C412" s="38">
        <v>2</v>
      </c>
      <c r="D412" s="125" t="s">
        <v>812</v>
      </c>
      <c r="E412" s="123" t="s">
        <v>836</v>
      </c>
      <c r="F412" s="126" t="s">
        <v>52</v>
      </c>
      <c r="G412" s="131"/>
      <c r="H412" s="122" t="s">
        <v>262</v>
      </c>
      <c r="I412" s="123" t="s">
        <v>580</v>
      </c>
      <c r="J412" s="212"/>
      <c r="K412" s="212"/>
      <c r="L412" s="212"/>
      <c r="M412" s="212"/>
      <c r="N412" s="212"/>
      <c r="O412" s="212"/>
      <c r="P412" s="212"/>
      <c r="Q412" s="106" t="b">
        <f t="shared" si="28"/>
        <v>0</v>
      </c>
      <c r="R412" s="199">
        <f t="shared" si="27"/>
        <v>0</v>
      </c>
    </row>
    <row r="413" spans="1:18" x14ac:dyDescent="0.3">
      <c r="A413" s="124">
        <v>16</v>
      </c>
      <c r="B413" s="37" t="s">
        <v>834</v>
      </c>
      <c r="C413" s="38">
        <v>3</v>
      </c>
      <c r="D413" s="125" t="s">
        <v>813</v>
      </c>
      <c r="E413" s="123" t="s">
        <v>837</v>
      </c>
      <c r="F413" s="126" t="s">
        <v>52</v>
      </c>
      <c r="G413" s="131"/>
      <c r="H413" s="122" t="s">
        <v>170</v>
      </c>
      <c r="I413" s="123" t="s">
        <v>265</v>
      </c>
      <c r="J413" s="212" t="s">
        <v>1383</v>
      </c>
      <c r="K413" s="212"/>
      <c r="L413" s="212"/>
      <c r="M413" s="213"/>
      <c r="N413" s="213"/>
      <c r="O413" s="213"/>
      <c r="P413" s="212"/>
      <c r="Q413" s="106" t="b">
        <f t="shared" si="28"/>
        <v>1</v>
      </c>
      <c r="R413" s="199">
        <f t="shared" si="27"/>
        <v>1</v>
      </c>
    </row>
    <row r="414" spans="1:18" x14ac:dyDescent="0.3">
      <c r="A414" s="124">
        <v>16</v>
      </c>
      <c r="B414" s="37" t="s">
        <v>834</v>
      </c>
      <c r="C414" s="38">
        <v>4</v>
      </c>
      <c r="D414" s="125" t="s">
        <v>814</v>
      </c>
      <c r="E414" s="123" t="s">
        <v>838</v>
      </c>
      <c r="F414" s="131"/>
      <c r="G414" s="128" t="s">
        <v>53</v>
      </c>
      <c r="H414" s="154" t="s">
        <v>483</v>
      </c>
      <c r="I414" s="155" t="s">
        <v>472</v>
      </c>
      <c r="J414" s="212"/>
      <c r="K414" s="212"/>
      <c r="L414" s="212"/>
      <c r="M414" s="213"/>
      <c r="N414" s="213"/>
      <c r="O414" s="213"/>
      <c r="P414" s="212"/>
      <c r="Q414" s="106" t="b">
        <f t="shared" si="28"/>
        <v>0</v>
      </c>
      <c r="R414" s="199">
        <f t="shared" si="27"/>
        <v>0</v>
      </c>
    </row>
    <row r="415" spans="1:18" x14ac:dyDescent="0.3">
      <c r="A415" s="124">
        <v>16</v>
      </c>
      <c r="B415" s="37" t="s">
        <v>834</v>
      </c>
      <c r="C415" s="38">
        <v>5</v>
      </c>
      <c r="D415" s="125" t="s">
        <v>815</v>
      </c>
      <c r="E415" s="123" t="s">
        <v>839</v>
      </c>
      <c r="F415" s="126" t="s">
        <v>52</v>
      </c>
      <c r="G415" s="131"/>
      <c r="H415" s="122" t="s">
        <v>170</v>
      </c>
      <c r="I415" s="123" t="s">
        <v>265</v>
      </c>
      <c r="J415" s="212" t="s">
        <v>1383</v>
      </c>
      <c r="K415" s="212"/>
      <c r="L415" s="212"/>
      <c r="M415" s="213"/>
      <c r="N415" s="213"/>
      <c r="O415" s="213"/>
      <c r="P415" s="212"/>
      <c r="Q415" s="106" t="b">
        <f t="shared" si="28"/>
        <v>1</v>
      </c>
      <c r="R415" s="199">
        <f t="shared" si="27"/>
        <v>1</v>
      </c>
    </row>
    <row r="416" spans="1:18" x14ac:dyDescent="0.3">
      <c r="A416" s="124">
        <v>16</v>
      </c>
      <c r="B416" s="37" t="s">
        <v>834</v>
      </c>
      <c r="C416" s="38">
        <v>6</v>
      </c>
      <c r="D416" s="125" t="s">
        <v>170</v>
      </c>
      <c r="E416" s="123" t="s">
        <v>265</v>
      </c>
      <c r="F416" s="126" t="s">
        <v>52</v>
      </c>
      <c r="G416" s="131"/>
      <c r="H416" s="122" t="s">
        <v>262</v>
      </c>
      <c r="I416" s="123" t="s">
        <v>580</v>
      </c>
      <c r="J416" s="212" t="s">
        <v>1383</v>
      </c>
      <c r="K416" s="212"/>
      <c r="L416" s="212"/>
      <c r="M416" s="213"/>
      <c r="N416" s="213"/>
      <c r="O416" s="213"/>
      <c r="P416" s="212"/>
      <c r="Q416" s="106" t="b">
        <f t="shared" si="28"/>
        <v>1</v>
      </c>
      <c r="R416" s="199">
        <f t="shared" si="27"/>
        <v>1</v>
      </c>
    </row>
    <row r="417" spans="1:18" x14ac:dyDescent="0.3">
      <c r="A417" s="124">
        <v>16</v>
      </c>
      <c r="B417" s="37" t="s">
        <v>834</v>
      </c>
      <c r="C417" s="38">
        <v>7</v>
      </c>
      <c r="D417" s="125" t="s">
        <v>816</v>
      </c>
      <c r="E417" s="123" t="s">
        <v>840</v>
      </c>
      <c r="F417" s="126" t="s">
        <v>52</v>
      </c>
      <c r="G417" s="131"/>
      <c r="H417" s="122" t="s">
        <v>170</v>
      </c>
      <c r="I417" s="123" t="s">
        <v>265</v>
      </c>
      <c r="J417" s="212" t="s">
        <v>1383</v>
      </c>
      <c r="K417" s="212" t="s">
        <v>1383</v>
      </c>
      <c r="L417" s="212"/>
      <c r="M417" s="213"/>
      <c r="N417" s="213"/>
      <c r="O417" s="213"/>
      <c r="P417" s="212"/>
      <c r="Q417" s="106" t="b">
        <f t="shared" si="28"/>
        <v>1</v>
      </c>
      <c r="R417" s="199">
        <f t="shared" si="27"/>
        <v>2</v>
      </c>
    </row>
    <row r="418" spans="1:18" x14ac:dyDescent="0.3">
      <c r="A418" s="124">
        <v>16</v>
      </c>
      <c r="B418" s="37" t="s">
        <v>834</v>
      </c>
      <c r="C418" s="38">
        <v>8</v>
      </c>
      <c r="D418" s="125" t="s">
        <v>817</v>
      </c>
      <c r="E418" s="123" t="s">
        <v>841</v>
      </c>
      <c r="F418" s="126" t="s">
        <v>52</v>
      </c>
      <c r="G418" s="131"/>
      <c r="H418" s="122" t="s">
        <v>170</v>
      </c>
      <c r="I418" s="123" t="s">
        <v>265</v>
      </c>
      <c r="J418" s="212"/>
      <c r="K418" s="212"/>
      <c r="L418" s="212"/>
      <c r="M418" s="213"/>
      <c r="N418" s="213"/>
      <c r="O418" s="213"/>
      <c r="P418" s="212"/>
      <c r="Q418" s="106" t="b">
        <f t="shared" si="28"/>
        <v>0</v>
      </c>
      <c r="R418" s="199">
        <f t="shared" si="27"/>
        <v>0</v>
      </c>
    </row>
    <row r="419" spans="1:18" x14ac:dyDescent="0.3">
      <c r="A419" s="124">
        <v>16</v>
      </c>
      <c r="B419" s="37" t="s">
        <v>834</v>
      </c>
      <c r="C419" s="38">
        <v>9</v>
      </c>
      <c r="D419" s="125" t="s">
        <v>818</v>
      </c>
      <c r="E419" s="123" t="s">
        <v>842</v>
      </c>
      <c r="F419" s="126" t="s">
        <v>52</v>
      </c>
      <c r="G419" s="131"/>
      <c r="H419" s="122" t="s">
        <v>170</v>
      </c>
      <c r="I419" s="123" t="s">
        <v>265</v>
      </c>
      <c r="J419" s="212" t="s">
        <v>1383</v>
      </c>
      <c r="K419" s="212"/>
      <c r="L419" s="212"/>
      <c r="M419" s="213"/>
      <c r="N419" s="213"/>
      <c r="O419" s="213"/>
      <c r="P419" s="212"/>
      <c r="Q419" s="106" t="b">
        <f t="shared" si="28"/>
        <v>1</v>
      </c>
      <c r="R419" s="199">
        <f t="shared" si="27"/>
        <v>1</v>
      </c>
    </row>
    <row r="420" spans="1:18" x14ac:dyDescent="0.3">
      <c r="A420" s="124">
        <v>16</v>
      </c>
      <c r="B420" s="37" t="s">
        <v>834</v>
      </c>
      <c r="C420" s="38">
        <v>10</v>
      </c>
      <c r="D420" s="125" t="s">
        <v>819</v>
      </c>
      <c r="E420" s="123" t="s">
        <v>843</v>
      </c>
      <c r="F420" s="126" t="s">
        <v>52</v>
      </c>
      <c r="G420" s="131"/>
      <c r="H420" s="122" t="s">
        <v>170</v>
      </c>
      <c r="I420" s="123" t="s">
        <v>265</v>
      </c>
      <c r="J420" s="212" t="s">
        <v>1383</v>
      </c>
      <c r="K420" s="212"/>
      <c r="L420" s="212"/>
      <c r="M420" s="213"/>
      <c r="N420" s="213"/>
      <c r="O420" s="213"/>
      <c r="P420" s="212"/>
      <c r="Q420" s="106" t="b">
        <f t="shared" si="28"/>
        <v>1</v>
      </c>
      <c r="R420" s="199">
        <f t="shared" si="27"/>
        <v>1</v>
      </c>
    </row>
    <row r="421" spans="1:18" x14ac:dyDescent="0.3">
      <c r="A421" s="124">
        <v>16</v>
      </c>
      <c r="B421" s="37" t="s">
        <v>834</v>
      </c>
      <c r="C421" s="38">
        <v>11</v>
      </c>
      <c r="D421" s="125" t="s">
        <v>820</v>
      </c>
      <c r="E421" s="123" t="s">
        <v>844</v>
      </c>
      <c r="F421" s="126" t="s">
        <v>52</v>
      </c>
      <c r="G421" s="131"/>
      <c r="H421" s="122" t="s">
        <v>170</v>
      </c>
      <c r="I421" s="123" t="s">
        <v>265</v>
      </c>
      <c r="J421" s="212" t="s">
        <v>1383</v>
      </c>
      <c r="K421" s="212"/>
      <c r="L421" s="212"/>
      <c r="M421" s="213"/>
      <c r="N421" s="213"/>
      <c r="O421" s="213"/>
      <c r="P421" s="212"/>
      <c r="Q421" s="106" t="b">
        <f t="shared" si="28"/>
        <v>1</v>
      </c>
      <c r="R421" s="199">
        <f t="shared" si="27"/>
        <v>1</v>
      </c>
    </row>
    <row r="422" spans="1:18" x14ac:dyDescent="0.3">
      <c r="A422" s="124">
        <v>16</v>
      </c>
      <c r="B422" s="37" t="s">
        <v>834</v>
      </c>
      <c r="C422" s="38">
        <v>12</v>
      </c>
      <c r="D422" s="125" t="s">
        <v>821</v>
      </c>
      <c r="E422" s="123" t="s">
        <v>845</v>
      </c>
      <c r="F422" s="126" t="s">
        <v>52</v>
      </c>
      <c r="G422" s="131"/>
      <c r="H422" s="122" t="s">
        <v>262</v>
      </c>
      <c r="I422" s="123" t="s">
        <v>580</v>
      </c>
      <c r="J422" s="212" t="s">
        <v>1383</v>
      </c>
      <c r="K422" s="212"/>
      <c r="L422" s="212"/>
      <c r="M422" s="213"/>
      <c r="N422" s="213"/>
      <c r="O422" s="213"/>
      <c r="P422" s="212"/>
      <c r="Q422" s="106" t="b">
        <f t="shared" si="28"/>
        <v>1</v>
      </c>
      <c r="R422" s="199">
        <f t="shared" si="27"/>
        <v>1</v>
      </c>
    </row>
    <row r="423" spans="1:18" x14ac:dyDescent="0.3">
      <c r="A423" s="124">
        <v>16</v>
      </c>
      <c r="B423" s="37" t="s">
        <v>834</v>
      </c>
      <c r="C423" s="38">
        <v>13</v>
      </c>
      <c r="D423" s="125" t="s">
        <v>822</v>
      </c>
      <c r="E423" s="123" t="s">
        <v>846</v>
      </c>
      <c r="F423" s="126" t="s">
        <v>52</v>
      </c>
      <c r="G423" s="131"/>
      <c r="H423" s="122" t="s">
        <v>262</v>
      </c>
      <c r="I423" s="123" t="s">
        <v>580</v>
      </c>
      <c r="J423" s="212"/>
      <c r="K423" s="212"/>
      <c r="L423" s="212"/>
      <c r="M423" s="213"/>
      <c r="N423" s="213"/>
      <c r="O423" s="213"/>
      <c r="P423" s="212"/>
      <c r="Q423" s="106" t="b">
        <f t="shared" si="28"/>
        <v>0</v>
      </c>
      <c r="R423" s="199">
        <f t="shared" si="27"/>
        <v>0</v>
      </c>
    </row>
    <row r="424" spans="1:18" x14ac:dyDescent="0.3">
      <c r="A424" s="124">
        <v>16</v>
      </c>
      <c r="B424" s="37" t="s">
        <v>834</v>
      </c>
      <c r="C424" s="38">
        <v>14</v>
      </c>
      <c r="D424" s="125" t="s">
        <v>823</v>
      </c>
      <c r="E424" s="123" t="s">
        <v>847</v>
      </c>
      <c r="F424" s="126" t="s">
        <v>52</v>
      </c>
      <c r="G424" s="131"/>
      <c r="H424" s="122" t="s">
        <v>170</v>
      </c>
      <c r="I424" s="123" t="s">
        <v>265</v>
      </c>
      <c r="J424" s="212" t="s">
        <v>1383</v>
      </c>
      <c r="K424" s="212"/>
      <c r="L424" s="212"/>
      <c r="M424" s="213"/>
      <c r="N424" s="212" t="s">
        <v>1383</v>
      </c>
      <c r="O424" s="212"/>
      <c r="P424" s="212"/>
      <c r="Q424" s="106" t="b">
        <f t="shared" si="28"/>
        <v>1</v>
      </c>
      <c r="R424" s="199">
        <f t="shared" si="27"/>
        <v>2</v>
      </c>
    </row>
    <row r="425" spans="1:18" x14ac:dyDescent="0.3">
      <c r="A425" s="124">
        <v>16</v>
      </c>
      <c r="B425" s="37" t="s">
        <v>834</v>
      </c>
      <c r="C425" s="38">
        <v>15</v>
      </c>
      <c r="D425" s="125" t="s">
        <v>824</v>
      </c>
      <c r="E425" s="123" t="s">
        <v>848</v>
      </c>
      <c r="F425" s="126" t="s">
        <v>52</v>
      </c>
      <c r="G425" s="131"/>
      <c r="H425" s="122" t="s">
        <v>170</v>
      </c>
      <c r="I425" s="123" t="s">
        <v>265</v>
      </c>
      <c r="J425" s="212" t="s">
        <v>1383</v>
      </c>
      <c r="K425" s="212"/>
      <c r="L425" s="212"/>
      <c r="M425" s="213"/>
      <c r="N425" s="213"/>
      <c r="O425" s="213"/>
      <c r="P425" s="212"/>
      <c r="Q425" s="106" t="b">
        <f t="shared" si="28"/>
        <v>1</v>
      </c>
      <c r="R425" s="199">
        <f t="shared" si="27"/>
        <v>1</v>
      </c>
    </row>
    <row r="426" spans="1:18" x14ac:dyDescent="0.3">
      <c r="A426" s="124">
        <v>16</v>
      </c>
      <c r="B426" s="37" t="s">
        <v>834</v>
      </c>
      <c r="C426" s="38">
        <v>16</v>
      </c>
      <c r="D426" s="125" t="s">
        <v>849</v>
      </c>
      <c r="E426" s="123" t="s">
        <v>850</v>
      </c>
      <c r="F426" s="126" t="s">
        <v>52</v>
      </c>
      <c r="G426" s="131"/>
      <c r="H426" s="122" t="s">
        <v>170</v>
      </c>
      <c r="I426" s="123" t="s">
        <v>265</v>
      </c>
      <c r="J426" s="212" t="s">
        <v>1383</v>
      </c>
      <c r="K426" s="212"/>
      <c r="L426" s="212"/>
      <c r="M426" s="213"/>
      <c r="N426" s="213"/>
      <c r="O426" s="213"/>
      <c r="P426" s="212"/>
      <c r="Q426" s="106" t="b">
        <f t="shared" si="28"/>
        <v>1</v>
      </c>
      <c r="R426" s="199">
        <f t="shared" si="27"/>
        <v>1</v>
      </c>
    </row>
    <row r="427" spans="1:18" x14ac:dyDescent="0.3">
      <c r="A427" s="124">
        <v>16</v>
      </c>
      <c r="B427" s="37" t="s">
        <v>834</v>
      </c>
      <c r="C427" s="38">
        <v>17</v>
      </c>
      <c r="D427" s="125" t="s">
        <v>825</v>
      </c>
      <c r="E427" s="123" t="s">
        <v>851</v>
      </c>
      <c r="F427" s="126" t="s">
        <v>52</v>
      </c>
      <c r="G427" s="131"/>
      <c r="H427" s="122" t="s">
        <v>262</v>
      </c>
      <c r="I427" s="123" t="s">
        <v>580</v>
      </c>
      <c r="J427" s="212" t="s">
        <v>1383</v>
      </c>
      <c r="K427" s="212"/>
      <c r="L427" s="212"/>
      <c r="M427" s="212" t="s">
        <v>1383</v>
      </c>
      <c r="N427" s="213"/>
      <c r="O427" s="213"/>
      <c r="P427" s="212"/>
      <c r="Q427" s="106" t="b">
        <f t="shared" si="28"/>
        <v>1</v>
      </c>
      <c r="R427" s="199">
        <f t="shared" si="27"/>
        <v>2</v>
      </c>
    </row>
    <row r="428" spans="1:18" x14ac:dyDescent="0.3">
      <c r="A428" s="124">
        <v>16</v>
      </c>
      <c r="B428" s="37" t="s">
        <v>834</v>
      </c>
      <c r="C428" s="38">
        <v>18</v>
      </c>
      <c r="D428" s="125" t="s">
        <v>826</v>
      </c>
      <c r="E428" s="123" t="s">
        <v>852</v>
      </c>
      <c r="F428" s="126" t="s">
        <v>52</v>
      </c>
      <c r="G428" s="131"/>
      <c r="H428" s="122" t="s">
        <v>267</v>
      </c>
      <c r="I428" s="123" t="s">
        <v>268</v>
      </c>
      <c r="J428" s="212" t="s">
        <v>1383</v>
      </c>
      <c r="K428" s="212"/>
      <c r="L428" s="212"/>
      <c r="M428" s="213"/>
      <c r="N428" s="213"/>
      <c r="O428" s="213"/>
      <c r="P428" s="212"/>
      <c r="Q428" s="106" t="b">
        <f t="shared" si="28"/>
        <v>1</v>
      </c>
      <c r="R428" s="199">
        <f t="shared" si="27"/>
        <v>1</v>
      </c>
    </row>
    <row r="429" spans="1:18" x14ac:dyDescent="0.3">
      <c r="A429" s="124">
        <v>16</v>
      </c>
      <c r="B429" s="37" t="s">
        <v>834</v>
      </c>
      <c r="C429" s="38">
        <v>19</v>
      </c>
      <c r="D429" s="125" t="s">
        <v>827</v>
      </c>
      <c r="E429" s="123" t="s">
        <v>853</v>
      </c>
      <c r="F429" s="126" t="s">
        <v>52</v>
      </c>
      <c r="G429" s="131"/>
      <c r="H429" s="122" t="s">
        <v>170</v>
      </c>
      <c r="I429" s="123" t="s">
        <v>265</v>
      </c>
      <c r="J429" s="212" t="s">
        <v>1383</v>
      </c>
      <c r="K429" s="212"/>
      <c r="L429" s="212"/>
      <c r="M429" s="213"/>
      <c r="N429" s="213"/>
      <c r="O429" s="213"/>
      <c r="P429" s="212"/>
      <c r="Q429" s="106" t="b">
        <f t="shared" si="28"/>
        <v>1</v>
      </c>
      <c r="R429" s="199">
        <f t="shared" si="27"/>
        <v>1</v>
      </c>
    </row>
    <row r="430" spans="1:18" x14ac:dyDescent="0.3">
      <c r="A430" s="124">
        <v>16</v>
      </c>
      <c r="B430" s="37" t="s">
        <v>834</v>
      </c>
      <c r="C430" s="38">
        <v>20</v>
      </c>
      <c r="D430" s="125" t="s">
        <v>828</v>
      </c>
      <c r="E430" s="123" t="s">
        <v>854</v>
      </c>
      <c r="F430" s="126" t="s">
        <v>52</v>
      </c>
      <c r="G430" s="131"/>
      <c r="H430" s="122" t="s">
        <v>170</v>
      </c>
      <c r="I430" s="123" t="s">
        <v>265</v>
      </c>
      <c r="J430" s="212" t="s">
        <v>1383</v>
      </c>
      <c r="K430" s="212"/>
      <c r="L430" s="212"/>
      <c r="M430" s="213"/>
      <c r="N430" s="213"/>
      <c r="O430" s="213"/>
      <c r="P430" s="212" t="s">
        <v>1383</v>
      </c>
      <c r="Q430" s="106" t="b">
        <f t="shared" si="28"/>
        <v>1</v>
      </c>
      <c r="R430" s="199">
        <f t="shared" si="27"/>
        <v>2</v>
      </c>
    </row>
    <row r="431" spans="1:18" x14ac:dyDescent="0.3">
      <c r="A431" s="124">
        <v>16</v>
      </c>
      <c r="B431" s="37" t="s">
        <v>834</v>
      </c>
      <c r="C431" s="38">
        <v>21</v>
      </c>
      <c r="D431" s="125" t="s">
        <v>829</v>
      </c>
      <c r="E431" s="123" t="s">
        <v>855</v>
      </c>
      <c r="F431" s="126" t="s">
        <v>52</v>
      </c>
      <c r="G431" s="131"/>
      <c r="H431" s="122" t="s">
        <v>262</v>
      </c>
      <c r="I431" s="123" t="s">
        <v>580</v>
      </c>
      <c r="J431" s="212" t="s">
        <v>1383</v>
      </c>
      <c r="K431" s="212"/>
      <c r="L431" s="212"/>
      <c r="M431" s="213"/>
      <c r="N431" s="213"/>
      <c r="O431" s="213"/>
      <c r="P431" s="212"/>
      <c r="Q431" s="106" t="b">
        <f t="shared" si="28"/>
        <v>1</v>
      </c>
      <c r="R431" s="199">
        <f t="shared" si="27"/>
        <v>1</v>
      </c>
    </row>
    <row r="432" spans="1:18" x14ac:dyDescent="0.3">
      <c r="A432" s="124">
        <v>16</v>
      </c>
      <c r="B432" s="37" t="s">
        <v>834</v>
      </c>
      <c r="C432" s="38">
        <v>22</v>
      </c>
      <c r="D432" s="125" t="s">
        <v>830</v>
      </c>
      <c r="E432" s="123" t="s">
        <v>856</v>
      </c>
      <c r="F432" s="131"/>
      <c r="G432" s="128" t="s">
        <v>53</v>
      </c>
      <c r="H432" s="154" t="s">
        <v>483</v>
      </c>
      <c r="I432" s="155" t="s">
        <v>472</v>
      </c>
      <c r="J432" s="212"/>
      <c r="K432" s="212"/>
      <c r="L432" s="212"/>
      <c r="M432" s="213"/>
      <c r="N432" s="213"/>
      <c r="O432" s="213"/>
      <c r="P432" s="212"/>
      <c r="Q432" s="106" t="b">
        <f t="shared" si="28"/>
        <v>0</v>
      </c>
      <c r="R432" s="199">
        <f t="shared" si="27"/>
        <v>0</v>
      </c>
    </row>
    <row r="433" spans="1:18" x14ac:dyDescent="0.3">
      <c r="A433" s="124">
        <v>16</v>
      </c>
      <c r="B433" s="37" t="s">
        <v>834</v>
      </c>
      <c r="C433" s="38">
        <v>23</v>
      </c>
      <c r="D433" s="125" t="s">
        <v>831</v>
      </c>
      <c r="E433" s="123" t="s">
        <v>857</v>
      </c>
      <c r="F433" s="126" t="s">
        <v>52</v>
      </c>
      <c r="G433" s="131"/>
      <c r="H433" s="122" t="s">
        <v>170</v>
      </c>
      <c r="I433" s="123" t="s">
        <v>265</v>
      </c>
      <c r="J433" s="212" t="s">
        <v>1383</v>
      </c>
      <c r="K433" s="212"/>
      <c r="L433" s="212"/>
      <c r="M433" s="213"/>
      <c r="N433" s="213"/>
      <c r="O433" s="213"/>
      <c r="P433" s="212"/>
      <c r="Q433" s="106" t="b">
        <f t="shared" si="28"/>
        <v>1</v>
      </c>
      <c r="R433" s="199">
        <f t="shared" si="27"/>
        <v>1</v>
      </c>
    </row>
    <row r="434" spans="1:18" x14ac:dyDescent="0.3">
      <c r="A434" s="124">
        <v>16</v>
      </c>
      <c r="B434" s="37" t="s">
        <v>834</v>
      </c>
      <c r="C434" s="38">
        <v>24</v>
      </c>
      <c r="D434" s="125" t="s">
        <v>832</v>
      </c>
      <c r="E434" s="123" t="s">
        <v>858</v>
      </c>
      <c r="F434" s="126" t="s">
        <v>52</v>
      </c>
      <c r="G434" s="131"/>
      <c r="H434" s="122" t="s">
        <v>262</v>
      </c>
      <c r="I434" s="123" t="s">
        <v>580</v>
      </c>
      <c r="J434" s="212" t="s">
        <v>1383</v>
      </c>
      <c r="K434" s="212" t="s">
        <v>1383</v>
      </c>
      <c r="L434" s="212"/>
      <c r="M434" s="213"/>
      <c r="N434" s="213"/>
      <c r="O434" s="213"/>
      <c r="P434" s="212"/>
      <c r="Q434" s="106" t="b">
        <f t="shared" si="28"/>
        <v>1</v>
      </c>
      <c r="R434" s="199">
        <f t="shared" si="27"/>
        <v>2</v>
      </c>
    </row>
    <row r="435" spans="1:18" ht="19.5" thickBot="1" x14ac:dyDescent="0.35">
      <c r="A435" s="132">
        <v>16</v>
      </c>
      <c r="B435" s="39" t="s">
        <v>834</v>
      </c>
      <c r="C435" s="45">
        <v>25</v>
      </c>
      <c r="D435" s="156" t="s">
        <v>833</v>
      </c>
      <c r="E435" s="159" t="s">
        <v>859</v>
      </c>
      <c r="F435" s="157" t="s">
        <v>52</v>
      </c>
      <c r="G435" s="174"/>
      <c r="H435" s="158" t="s">
        <v>262</v>
      </c>
      <c r="I435" s="159" t="s">
        <v>580</v>
      </c>
      <c r="J435" s="221" t="s">
        <v>1383</v>
      </c>
      <c r="K435" s="221"/>
      <c r="L435" s="221"/>
      <c r="M435" s="222"/>
      <c r="N435" s="221" t="s">
        <v>1383</v>
      </c>
      <c r="O435" s="221"/>
      <c r="P435" s="221"/>
      <c r="Q435" s="244" t="b">
        <f t="shared" si="28"/>
        <v>1</v>
      </c>
      <c r="R435" s="202">
        <f t="shared" si="27"/>
        <v>2</v>
      </c>
    </row>
    <row r="436" spans="1:18" ht="19.5" hidden="1" thickBot="1" x14ac:dyDescent="0.3">
      <c r="A436" s="137">
        <f>A435</f>
        <v>16</v>
      </c>
      <c r="B436" s="138" t="str">
        <f>B435</f>
        <v>MOLAVE</v>
      </c>
      <c r="C436" s="15">
        <f>COUNTA(C411:C435)</f>
        <v>25</v>
      </c>
      <c r="D436" s="139" t="s">
        <v>1</v>
      </c>
      <c r="E436" s="139" t="s">
        <v>1374</v>
      </c>
      <c r="F436" s="15">
        <f>COUNTA(F411:F435)</f>
        <v>23</v>
      </c>
      <c r="G436" s="15">
        <f>COUNTA(G411:G435)</f>
        <v>2</v>
      </c>
      <c r="H436" s="291" t="s">
        <v>3</v>
      </c>
      <c r="I436" s="292"/>
      <c r="J436" s="15">
        <f t="shared" ref="J436:P436" si="30">COUNTA(J411:J435)</f>
        <v>20</v>
      </c>
      <c r="K436" s="15">
        <f t="shared" si="30"/>
        <v>2</v>
      </c>
      <c r="L436" s="15">
        <f t="shared" si="30"/>
        <v>0</v>
      </c>
      <c r="M436" s="15">
        <f t="shared" si="30"/>
        <v>1</v>
      </c>
      <c r="N436" s="15">
        <f t="shared" si="30"/>
        <v>3</v>
      </c>
      <c r="O436" s="15">
        <f t="shared" si="30"/>
        <v>0</v>
      </c>
      <c r="P436" s="15">
        <f t="shared" si="30"/>
        <v>1</v>
      </c>
      <c r="Q436" s="22">
        <f>COUNTIF(Q411:Q435,TRUE)</f>
        <v>20</v>
      </c>
      <c r="R436" s="249">
        <f>SUM(J436:P436)</f>
        <v>27</v>
      </c>
    </row>
    <row r="437" spans="1:18" x14ac:dyDescent="0.3">
      <c r="A437" s="140">
        <v>17</v>
      </c>
      <c r="B437" s="36" t="s">
        <v>906</v>
      </c>
      <c r="C437" s="46">
        <v>1</v>
      </c>
      <c r="D437" s="166" t="s">
        <v>11</v>
      </c>
      <c r="E437" s="144" t="s">
        <v>907</v>
      </c>
      <c r="F437" s="121" t="s">
        <v>52</v>
      </c>
      <c r="G437" s="165"/>
      <c r="H437" s="142" t="s">
        <v>262</v>
      </c>
      <c r="I437" s="144" t="s">
        <v>580</v>
      </c>
      <c r="J437" s="209" t="s">
        <v>1383</v>
      </c>
      <c r="K437" s="209"/>
      <c r="L437" s="209"/>
      <c r="M437" s="210"/>
      <c r="N437" s="210"/>
      <c r="O437" s="210"/>
      <c r="P437" s="209"/>
      <c r="Q437" s="106" t="b">
        <f t="shared" si="28"/>
        <v>1</v>
      </c>
      <c r="R437" s="196">
        <f t="shared" si="27"/>
        <v>1</v>
      </c>
    </row>
    <row r="438" spans="1:18" x14ac:dyDescent="0.3">
      <c r="A438" s="124">
        <v>17</v>
      </c>
      <c r="B438" s="37" t="s">
        <v>906</v>
      </c>
      <c r="C438" s="38">
        <v>2</v>
      </c>
      <c r="D438" s="125" t="s">
        <v>860</v>
      </c>
      <c r="E438" s="123" t="s">
        <v>908</v>
      </c>
      <c r="F438" s="126" t="s">
        <v>52</v>
      </c>
      <c r="G438" s="131"/>
      <c r="H438" s="122" t="s">
        <v>415</v>
      </c>
      <c r="I438" s="123" t="s">
        <v>414</v>
      </c>
      <c r="J438" s="212" t="s">
        <v>1383</v>
      </c>
      <c r="K438" s="212"/>
      <c r="L438" s="212"/>
      <c r="M438" s="213"/>
      <c r="N438" s="212" t="s">
        <v>1383</v>
      </c>
      <c r="O438" s="212"/>
      <c r="P438" s="212" t="s">
        <v>1383</v>
      </c>
      <c r="Q438" s="106" t="b">
        <f t="shared" si="28"/>
        <v>1</v>
      </c>
      <c r="R438" s="199">
        <f t="shared" si="27"/>
        <v>3</v>
      </c>
    </row>
    <row r="439" spans="1:18" x14ac:dyDescent="0.3">
      <c r="A439" s="124">
        <v>17</v>
      </c>
      <c r="B439" s="37" t="s">
        <v>906</v>
      </c>
      <c r="C439" s="38">
        <v>3</v>
      </c>
      <c r="D439" s="125" t="s">
        <v>20</v>
      </c>
      <c r="E439" s="123" t="s">
        <v>909</v>
      </c>
      <c r="F439" s="126" t="s">
        <v>52</v>
      </c>
      <c r="G439" s="131"/>
      <c r="H439" s="122" t="s">
        <v>413</v>
      </c>
      <c r="I439" s="123" t="s">
        <v>412</v>
      </c>
      <c r="J439" s="212" t="s">
        <v>1383</v>
      </c>
      <c r="K439" s="212" t="s">
        <v>1383</v>
      </c>
      <c r="L439" s="212"/>
      <c r="M439" s="213"/>
      <c r="N439" s="212" t="s">
        <v>1383</v>
      </c>
      <c r="O439" s="212"/>
      <c r="P439" s="212" t="s">
        <v>1383</v>
      </c>
      <c r="Q439" s="106" t="b">
        <f t="shared" si="28"/>
        <v>1</v>
      </c>
      <c r="R439" s="199">
        <f t="shared" si="27"/>
        <v>4</v>
      </c>
    </row>
    <row r="440" spans="1:18" x14ac:dyDescent="0.3">
      <c r="A440" s="124">
        <v>17</v>
      </c>
      <c r="B440" s="37" t="s">
        <v>906</v>
      </c>
      <c r="C440" s="38">
        <v>4</v>
      </c>
      <c r="D440" s="125" t="s">
        <v>861</v>
      </c>
      <c r="E440" s="123" t="s">
        <v>910</v>
      </c>
      <c r="F440" s="126" t="s">
        <v>52</v>
      </c>
      <c r="G440" s="131"/>
      <c r="H440" s="122" t="s">
        <v>413</v>
      </c>
      <c r="I440" s="123" t="s">
        <v>412</v>
      </c>
      <c r="J440" s="212" t="s">
        <v>1383</v>
      </c>
      <c r="K440" s="212" t="s">
        <v>1383</v>
      </c>
      <c r="L440" s="212"/>
      <c r="M440" s="213"/>
      <c r="N440" s="213"/>
      <c r="O440" s="213"/>
      <c r="P440" s="212"/>
      <c r="Q440" s="106" t="b">
        <f t="shared" si="28"/>
        <v>1</v>
      </c>
      <c r="R440" s="199">
        <f t="shared" si="27"/>
        <v>2</v>
      </c>
    </row>
    <row r="441" spans="1:18" x14ac:dyDescent="0.3">
      <c r="A441" s="124">
        <v>17</v>
      </c>
      <c r="B441" s="37" t="s">
        <v>906</v>
      </c>
      <c r="C441" s="38">
        <v>5</v>
      </c>
      <c r="D441" s="125" t="s">
        <v>862</v>
      </c>
      <c r="E441" s="123" t="s">
        <v>911</v>
      </c>
      <c r="F441" s="126" t="s">
        <v>52</v>
      </c>
      <c r="G441" s="131"/>
      <c r="H441" s="122" t="s">
        <v>961</v>
      </c>
      <c r="I441" s="123" t="s">
        <v>923</v>
      </c>
      <c r="J441" s="212" t="s">
        <v>1383</v>
      </c>
      <c r="K441" s="212"/>
      <c r="L441" s="212"/>
      <c r="M441" s="213"/>
      <c r="N441" s="213"/>
      <c r="O441" s="213"/>
      <c r="P441" s="212" t="s">
        <v>1383</v>
      </c>
      <c r="Q441" s="106" t="b">
        <f t="shared" si="28"/>
        <v>1</v>
      </c>
      <c r="R441" s="199">
        <f t="shared" si="27"/>
        <v>2</v>
      </c>
    </row>
    <row r="442" spans="1:18" x14ac:dyDescent="0.3">
      <c r="A442" s="124">
        <v>17</v>
      </c>
      <c r="B442" s="37" t="s">
        <v>906</v>
      </c>
      <c r="C442" s="38">
        <v>6</v>
      </c>
      <c r="D442" s="125" t="s">
        <v>863</v>
      </c>
      <c r="E442" s="123" t="s">
        <v>912</v>
      </c>
      <c r="F442" s="126" t="s">
        <v>52</v>
      </c>
      <c r="G442" s="131"/>
      <c r="H442" s="122" t="s">
        <v>262</v>
      </c>
      <c r="I442" s="123" t="s">
        <v>580</v>
      </c>
      <c r="J442" s="212" t="s">
        <v>1383</v>
      </c>
      <c r="K442" s="212" t="s">
        <v>1383</v>
      </c>
      <c r="L442" s="212"/>
      <c r="M442" s="213"/>
      <c r="N442" s="213"/>
      <c r="O442" s="213"/>
      <c r="P442" s="212"/>
      <c r="Q442" s="106" t="b">
        <f t="shared" si="28"/>
        <v>1</v>
      </c>
      <c r="R442" s="199">
        <f t="shared" si="27"/>
        <v>2</v>
      </c>
    </row>
    <row r="443" spans="1:18" x14ac:dyDescent="0.3">
      <c r="A443" s="124">
        <v>17</v>
      </c>
      <c r="B443" s="37" t="s">
        <v>906</v>
      </c>
      <c r="C443" s="38">
        <v>7</v>
      </c>
      <c r="D443" s="125" t="s">
        <v>864</v>
      </c>
      <c r="E443" s="123" t="s">
        <v>913</v>
      </c>
      <c r="F443" s="126" t="s">
        <v>52</v>
      </c>
      <c r="G443" s="131"/>
      <c r="H443" s="122" t="s">
        <v>415</v>
      </c>
      <c r="I443" s="123" t="s">
        <v>414</v>
      </c>
      <c r="J443" s="212" t="s">
        <v>1383</v>
      </c>
      <c r="K443" s="212"/>
      <c r="L443" s="212"/>
      <c r="M443" s="213"/>
      <c r="N443" s="213" t="s">
        <v>1383</v>
      </c>
      <c r="O443" s="213"/>
      <c r="P443" s="212" t="s">
        <v>1383</v>
      </c>
      <c r="Q443" s="106" t="b">
        <f t="shared" si="28"/>
        <v>1</v>
      </c>
      <c r="R443" s="199">
        <f t="shared" si="27"/>
        <v>3</v>
      </c>
    </row>
    <row r="444" spans="1:18" x14ac:dyDescent="0.3">
      <c r="A444" s="124">
        <v>17</v>
      </c>
      <c r="B444" s="37" t="s">
        <v>906</v>
      </c>
      <c r="C444" s="38">
        <v>8</v>
      </c>
      <c r="D444" s="125" t="s">
        <v>865</v>
      </c>
      <c r="E444" s="123" t="s">
        <v>914</v>
      </c>
      <c r="F444" s="126" t="s">
        <v>52</v>
      </c>
      <c r="G444" s="131"/>
      <c r="H444" s="122" t="s">
        <v>1342</v>
      </c>
      <c r="I444" s="123" t="s">
        <v>577</v>
      </c>
      <c r="J444" s="212" t="s">
        <v>1383</v>
      </c>
      <c r="K444" s="212"/>
      <c r="L444" s="212" t="s">
        <v>1383</v>
      </c>
      <c r="M444" s="213"/>
      <c r="N444" s="212" t="s">
        <v>1383</v>
      </c>
      <c r="O444" s="212"/>
      <c r="P444" s="212" t="s">
        <v>1383</v>
      </c>
      <c r="Q444" s="106" t="b">
        <f t="shared" si="28"/>
        <v>1</v>
      </c>
      <c r="R444" s="199">
        <f t="shared" si="27"/>
        <v>4</v>
      </c>
    </row>
    <row r="445" spans="1:18" x14ac:dyDescent="0.3">
      <c r="A445" s="124">
        <v>17</v>
      </c>
      <c r="B445" s="37" t="s">
        <v>906</v>
      </c>
      <c r="C445" s="38">
        <v>9</v>
      </c>
      <c r="D445" s="125" t="s">
        <v>866</v>
      </c>
      <c r="E445" s="123" t="s">
        <v>915</v>
      </c>
      <c r="F445" s="126" t="s">
        <v>52</v>
      </c>
      <c r="G445" s="131"/>
      <c r="H445" s="122" t="s">
        <v>413</v>
      </c>
      <c r="I445" s="123" t="s">
        <v>412</v>
      </c>
      <c r="J445" s="212" t="s">
        <v>1383</v>
      </c>
      <c r="K445" s="212" t="s">
        <v>1383</v>
      </c>
      <c r="L445" s="212"/>
      <c r="M445" s="213"/>
      <c r="N445" s="213"/>
      <c r="O445" s="213"/>
      <c r="P445" s="212"/>
      <c r="Q445" s="106" t="b">
        <f t="shared" si="28"/>
        <v>1</v>
      </c>
      <c r="R445" s="199">
        <f t="shared" si="27"/>
        <v>2</v>
      </c>
    </row>
    <row r="446" spans="1:18" x14ac:dyDescent="0.3">
      <c r="A446" s="124">
        <v>17</v>
      </c>
      <c r="B446" s="37" t="s">
        <v>906</v>
      </c>
      <c r="C446" s="38">
        <v>10</v>
      </c>
      <c r="D446" s="125" t="s">
        <v>611</v>
      </c>
      <c r="E446" s="123" t="s">
        <v>916</v>
      </c>
      <c r="F446" s="126" t="s">
        <v>52</v>
      </c>
      <c r="G446" s="131"/>
      <c r="H446" s="122" t="s">
        <v>262</v>
      </c>
      <c r="I446" s="123" t="s">
        <v>580</v>
      </c>
      <c r="J446" s="212" t="s">
        <v>1383</v>
      </c>
      <c r="K446" s="212"/>
      <c r="L446" s="212"/>
      <c r="M446" s="213"/>
      <c r="N446" s="213"/>
      <c r="O446" s="213"/>
      <c r="P446" s="212" t="s">
        <v>1383</v>
      </c>
      <c r="Q446" s="106" t="b">
        <f t="shared" si="28"/>
        <v>1</v>
      </c>
      <c r="R446" s="199">
        <f t="shared" si="27"/>
        <v>2</v>
      </c>
    </row>
    <row r="447" spans="1:18" x14ac:dyDescent="0.3">
      <c r="A447" s="124">
        <v>17</v>
      </c>
      <c r="B447" s="37" t="s">
        <v>906</v>
      </c>
      <c r="C447" s="38">
        <v>11</v>
      </c>
      <c r="D447" s="125" t="s">
        <v>867</v>
      </c>
      <c r="E447" s="123" t="s">
        <v>917</v>
      </c>
      <c r="F447" s="126" t="s">
        <v>52</v>
      </c>
      <c r="G447" s="131"/>
      <c r="H447" s="122" t="s">
        <v>413</v>
      </c>
      <c r="I447" s="123" t="s">
        <v>412</v>
      </c>
      <c r="J447" s="212"/>
      <c r="K447" s="212"/>
      <c r="L447" s="212"/>
      <c r="M447" s="213"/>
      <c r="N447" s="213"/>
      <c r="O447" s="213"/>
      <c r="P447" s="212"/>
      <c r="Q447" s="106" t="b">
        <f t="shared" si="28"/>
        <v>0</v>
      </c>
      <c r="R447" s="199">
        <f t="shared" si="27"/>
        <v>0</v>
      </c>
    </row>
    <row r="448" spans="1:18" x14ac:dyDescent="0.3">
      <c r="A448" s="124">
        <v>17</v>
      </c>
      <c r="B448" s="37" t="s">
        <v>906</v>
      </c>
      <c r="C448" s="38">
        <v>12</v>
      </c>
      <c r="D448" s="125" t="s">
        <v>178</v>
      </c>
      <c r="E448" s="123" t="s">
        <v>918</v>
      </c>
      <c r="F448" s="126" t="s">
        <v>52</v>
      </c>
      <c r="G448" s="131"/>
      <c r="H448" s="122" t="s">
        <v>262</v>
      </c>
      <c r="I448" s="123" t="s">
        <v>580</v>
      </c>
      <c r="J448" s="212" t="s">
        <v>1383</v>
      </c>
      <c r="K448" s="212"/>
      <c r="L448" s="212"/>
      <c r="M448" s="213"/>
      <c r="N448" s="213"/>
      <c r="O448" s="213"/>
      <c r="P448" s="212"/>
      <c r="Q448" s="106" t="b">
        <f t="shared" si="28"/>
        <v>1</v>
      </c>
      <c r="R448" s="199">
        <f t="shared" si="27"/>
        <v>1</v>
      </c>
    </row>
    <row r="449" spans="1:18" x14ac:dyDescent="0.3">
      <c r="A449" s="124">
        <v>17</v>
      </c>
      <c r="B449" s="37" t="s">
        <v>906</v>
      </c>
      <c r="C449" s="38">
        <v>13</v>
      </c>
      <c r="D449" s="125" t="s">
        <v>868</v>
      </c>
      <c r="E449" s="123" t="s">
        <v>919</v>
      </c>
      <c r="F449" s="126" t="s">
        <v>52</v>
      </c>
      <c r="G449" s="131"/>
      <c r="H449" s="122" t="s">
        <v>413</v>
      </c>
      <c r="I449" s="123" t="s">
        <v>412</v>
      </c>
      <c r="J449" s="212" t="s">
        <v>1383</v>
      </c>
      <c r="K449" s="212"/>
      <c r="L449" s="212"/>
      <c r="M449" s="213"/>
      <c r="N449" s="212" t="s">
        <v>1383</v>
      </c>
      <c r="O449" s="212"/>
      <c r="P449" s="212" t="s">
        <v>1383</v>
      </c>
      <c r="Q449" s="106" t="b">
        <f t="shared" si="28"/>
        <v>1</v>
      </c>
      <c r="R449" s="199">
        <f t="shared" si="27"/>
        <v>3</v>
      </c>
    </row>
    <row r="450" spans="1:18" x14ac:dyDescent="0.3">
      <c r="A450" s="124">
        <v>17</v>
      </c>
      <c r="B450" s="37" t="s">
        <v>906</v>
      </c>
      <c r="C450" s="38">
        <v>14</v>
      </c>
      <c r="D450" s="125" t="s">
        <v>67</v>
      </c>
      <c r="E450" s="123" t="s">
        <v>920</v>
      </c>
      <c r="F450" s="126" t="s">
        <v>52</v>
      </c>
      <c r="G450" s="131"/>
      <c r="H450" s="122" t="s">
        <v>262</v>
      </c>
      <c r="I450" s="123" t="s">
        <v>580</v>
      </c>
      <c r="J450" s="212" t="s">
        <v>1383</v>
      </c>
      <c r="K450" s="212"/>
      <c r="L450" s="212"/>
      <c r="M450" s="213"/>
      <c r="N450" s="213"/>
      <c r="O450" s="213"/>
      <c r="P450" s="212"/>
      <c r="Q450" s="106" t="b">
        <f t="shared" si="28"/>
        <v>1</v>
      </c>
      <c r="R450" s="199">
        <f t="shared" si="27"/>
        <v>1</v>
      </c>
    </row>
    <row r="451" spans="1:18" x14ac:dyDescent="0.3">
      <c r="A451" s="124">
        <v>17</v>
      </c>
      <c r="B451" s="37" t="s">
        <v>906</v>
      </c>
      <c r="C451" s="38">
        <v>15</v>
      </c>
      <c r="D451" s="125" t="s">
        <v>869</v>
      </c>
      <c r="E451" s="123" t="s">
        <v>921</v>
      </c>
      <c r="F451" s="126" t="s">
        <v>52</v>
      </c>
      <c r="G451" s="131"/>
      <c r="H451" s="122" t="s">
        <v>413</v>
      </c>
      <c r="I451" s="123" t="s">
        <v>412</v>
      </c>
      <c r="J451" s="212" t="s">
        <v>1383</v>
      </c>
      <c r="K451" s="212" t="s">
        <v>1383</v>
      </c>
      <c r="L451" s="212"/>
      <c r="M451" s="213"/>
      <c r="N451" s="212" t="s">
        <v>1383</v>
      </c>
      <c r="O451" s="212"/>
      <c r="P451" s="212"/>
      <c r="Q451" s="106" t="b">
        <f t="shared" si="28"/>
        <v>1</v>
      </c>
      <c r="R451" s="199">
        <f t="shared" si="27"/>
        <v>3</v>
      </c>
    </row>
    <row r="452" spans="1:18" x14ac:dyDescent="0.3">
      <c r="A452" s="124">
        <v>17</v>
      </c>
      <c r="B452" s="37" t="s">
        <v>906</v>
      </c>
      <c r="C452" s="38">
        <v>16</v>
      </c>
      <c r="D452" s="125" t="s">
        <v>870</v>
      </c>
      <c r="E452" s="123" t="s">
        <v>922</v>
      </c>
      <c r="F452" s="126" t="s">
        <v>52</v>
      </c>
      <c r="G452" s="131"/>
      <c r="H452" s="122" t="s">
        <v>413</v>
      </c>
      <c r="I452" s="123" t="s">
        <v>412</v>
      </c>
      <c r="J452" s="212" t="s">
        <v>1383</v>
      </c>
      <c r="K452" s="212"/>
      <c r="L452" s="212"/>
      <c r="M452" s="213"/>
      <c r="N452" s="213"/>
      <c r="O452" s="213"/>
      <c r="P452" s="212"/>
      <c r="Q452" s="106" t="b">
        <f t="shared" si="28"/>
        <v>1</v>
      </c>
      <c r="R452" s="199">
        <f t="shared" ref="R452:R515" si="31">COUNTA(J452:P452)</f>
        <v>1</v>
      </c>
    </row>
    <row r="453" spans="1:18" x14ac:dyDescent="0.3">
      <c r="A453" s="124">
        <v>17</v>
      </c>
      <c r="B453" s="37" t="s">
        <v>906</v>
      </c>
      <c r="C453" s="38">
        <v>17</v>
      </c>
      <c r="D453" s="125" t="s">
        <v>871</v>
      </c>
      <c r="E453" s="123" t="s">
        <v>923</v>
      </c>
      <c r="F453" s="126" t="s">
        <v>52</v>
      </c>
      <c r="G453" s="131"/>
      <c r="H453" s="122" t="s">
        <v>415</v>
      </c>
      <c r="I453" s="123" t="s">
        <v>414</v>
      </c>
      <c r="J453" s="212" t="s">
        <v>1383</v>
      </c>
      <c r="K453" s="212" t="s">
        <v>1383</v>
      </c>
      <c r="L453" s="212"/>
      <c r="M453" s="213"/>
      <c r="N453" s="213"/>
      <c r="O453" s="213"/>
      <c r="P453" s="212"/>
      <c r="Q453" s="106" t="b">
        <f t="shared" si="28"/>
        <v>1</v>
      </c>
      <c r="R453" s="199">
        <f t="shared" si="31"/>
        <v>2</v>
      </c>
    </row>
    <row r="454" spans="1:18" x14ac:dyDescent="0.3">
      <c r="A454" s="124">
        <v>17</v>
      </c>
      <c r="B454" s="37" t="s">
        <v>906</v>
      </c>
      <c r="C454" s="38">
        <v>18</v>
      </c>
      <c r="D454" s="125" t="s">
        <v>872</v>
      </c>
      <c r="E454" s="123" t="s">
        <v>924</v>
      </c>
      <c r="F454" s="126" t="s">
        <v>52</v>
      </c>
      <c r="G454" s="131"/>
      <c r="H454" s="122" t="s">
        <v>415</v>
      </c>
      <c r="I454" s="123" t="s">
        <v>414</v>
      </c>
      <c r="J454" s="212" t="s">
        <v>1383</v>
      </c>
      <c r="K454" s="212"/>
      <c r="L454" s="212"/>
      <c r="M454" s="213"/>
      <c r="N454" s="213"/>
      <c r="O454" s="213"/>
      <c r="P454" s="212"/>
      <c r="Q454" s="106" t="b">
        <f t="shared" ref="Q454:Q517" si="32">IF(COUNTA(J454:P454)=0,FALSE,TRUE)</f>
        <v>1</v>
      </c>
      <c r="R454" s="199">
        <f t="shared" si="31"/>
        <v>1</v>
      </c>
    </row>
    <row r="455" spans="1:18" x14ac:dyDescent="0.3">
      <c r="A455" s="124">
        <v>17</v>
      </c>
      <c r="B455" s="37" t="s">
        <v>906</v>
      </c>
      <c r="C455" s="38">
        <v>19</v>
      </c>
      <c r="D455" s="125" t="s">
        <v>873</v>
      </c>
      <c r="E455" s="123" t="s">
        <v>925</v>
      </c>
      <c r="F455" s="126" t="s">
        <v>52</v>
      </c>
      <c r="G455" s="131"/>
      <c r="H455" s="122" t="s">
        <v>413</v>
      </c>
      <c r="I455" s="123" t="s">
        <v>412</v>
      </c>
      <c r="J455" s="212" t="s">
        <v>1383</v>
      </c>
      <c r="K455" s="212"/>
      <c r="L455" s="212"/>
      <c r="M455" s="213"/>
      <c r="N455" s="213"/>
      <c r="O455" s="213"/>
      <c r="P455" s="212"/>
      <c r="Q455" s="106" t="b">
        <f t="shared" si="32"/>
        <v>1</v>
      </c>
      <c r="R455" s="199">
        <f t="shared" si="31"/>
        <v>1</v>
      </c>
    </row>
    <row r="456" spans="1:18" x14ac:dyDescent="0.3">
      <c r="A456" s="124">
        <v>17</v>
      </c>
      <c r="B456" s="37" t="s">
        <v>906</v>
      </c>
      <c r="C456" s="38">
        <v>20</v>
      </c>
      <c r="D456" s="125" t="s">
        <v>874</v>
      </c>
      <c r="E456" s="123" t="s">
        <v>926</v>
      </c>
      <c r="F456" s="126" t="s">
        <v>52</v>
      </c>
      <c r="G456" s="131"/>
      <c r="H456" s="122" t="s">
        <v>413</v>
      </c>
      <c r="I456" s="123" t="s">
        <v>412</v>
      </c>
      <c r="J456" s="212" t="s">
        <v>1383</v>
      </c>
      <c r="K456" s="212"/>
      <c r="L456" s="212"/>
      <c r="M456" s="213"/>
      <c r="N456" s="213"/>
      <c r="O456" s="213"/>
      <c r="P456" s="212"/>
      <c r="Q456" s="106" t="b">
        <f t="shared" si="32"/>
        <v>1</v>
      </c>
      <c r="R456" s="199">
        <f t="shared" si="31"/>
        <v>1</v>
      </c>
    </row>
    <row r="457" spans="1:18" x14ac:dyDescent="0.3">
      <c r="A457" s="124">
        <v>17</v>
      </c>
      <c r="B457" s="37" t="s">
        <v>906</v>
      </c>
      <c r="C457" s="38">
        <v>21</v>
      </c>
      <c r="D457" s="125" t="s">
        <v>93</v>
      </c>
      <c r="E457" s="123" t="s">
        <v>927</v>
      </c>
      <c r="F457" s="126" t="s">
        <v>52</v>
      </c>
      <c r="G457" s="131"/>
      <c r="H457" s="122" t="s">
        <v>262</v>
      </c>
      <c r="I457" s="123" t="s">
        <v>580</v>
      </c>
      <c r="J457" s="212" t="s">
        <v>1383</v>
      </c>
      <c r="K457" s="212" t="s">
        <v>1383</v>
      </c>
      <c r="L457" s="212" t="s">
        <v>1383</v>
      </c>
      <c r="M457" s="212"/>
      <c r="N457" s="213"/>
      <c r="O457" s="213"/>
      <c r="P457" s="212"/>
      <c r="Q457" s="106" t="b">
        <f t="shared" si="32"/>
        <v>1</v>
      </c>
      <c r="R457" s="199">
        <f t="shared" si="31"/>
        <v>3</v>
      </c>
    </row>
    <row r="458" spans="1:18" x14ac:dyDescent="0.3">
      <c r="A458" s="124">
        <v>17</v>
      </c>
      <c r="B458" s="37" t="s">
        <v>906</v>
      </c>
      <c r="C458" s="38">
        <v>22</v>
      </c>
      <c r="D458" s="125" t="s">
        <v>73</v>
      </c>
      <c r="E458" s="123" t="s">
        <v>928</v>
      </c>
      <c r="F458" s="126" t="s">
        <v>52</v>
      </c>
      <c r="G458" s="131"/>
      <c r="H458" s="122" t="s">
        <v>262</v>
      </c>
      <c r="I458" s="123" t="s">
        <v>580</v>
      </c>
      <c r="J458" s="212" t="s">
        <v>1383</v>
      </c>
      <c r="K458" s="212" t="s">
        <v>1383</v>
      </c>
      <c r="L458" s="212"/>
      <c r="M458" s="213"/>
      <c r="N458" s="213"/>
      <c r="O458" s="213"/>
      <c r="P458" s="212"/>
      <c r="Q458" s="106" t="b">
        <f t="shared" si="32"/>
        <v>1</v>
      </c>
      <c r="R458" s="199">
        <f t="shared" si="31"/>
        <v>2</v>
      </c>
    </row>
    <row r="459" spans="1:18" x14ac:dyDescent="0.3">
      <c r="A459" s="124">
        <v>17</v>
      </c>
      <c r="B459" s="37" t="s">
        <v>906</v>
      </c>
      <c r="C459" s="38">
        <v>23</v>
      </c>
      <c r="D459" s="125" t="s">
        <v>875</v>
      </c>
      <c r="E459" s="123" t="s">
        <v>929</v>
      </c>
      <c r="F459" s="126" t="s">
        <v>52</v>
      </c>
      <c r="G459" s="131"/>
      <c r="H459" s="122" t="s">
        <v>262</v>
      </c>
      <c r="I459" s="123" t="s">
        <v>580</v>
      </c>
      <c r="J459" s="212" t="s">
        <v>1383</v>
      </c>
      <c r="K459" s="212"/>
      <c r="L459" s="212"/>
      <c r="M459" s="213"/>
      <c r="N459" s="213"/>
      <c r="O459" s="213"/>
      <c r="P459" s="212" t="s">
        <v>1383</v>
      </c>
      <c r="Q459" s="106" t="b">
        <f t="shared" si="32"/>
        <v>1</v>
      </c>
      <c r="R459" s="199">
        <f t="shared" si="31"/>
        <v>2</v>
      </c>
    </row>
    <row r="460" spans="1:18" x14ac:dyDescent="0.3">
      <c r="A460" s="124">
        <v>17</v>
      </c>
      <c r="B460" s="37" t="s">
        <v>906</v>
      </c>
      <c r="C460" s="38">
        <v>24</v>
      </c>
      <c r="D460" s="125" t="s">
        <v>876</v>
      </c>
      <c r="E460" s="123" t="s">
        <v>930</v>
      </c>
      <c r="F460" s="126" t="s">
        <v>52</v>
      </c>
      <c r="G460" s="131"/>
      <c r="H460" s="122" t="s">
        <v>415</v>
      </c>
      <c r="I460" s="123" t="s">
        <v>414</v>
      </c>
      <c r="J460" s="212" t="s">
        <v>1383</v>
      </c>
      <c r="K460" s="212"/>
      <c r="L460" s="212"/>
      <c r="M460" s="213" t="s">
        <v>1383</v>
      </c>
      <c r="N460" s="213"/>
      <c r="O460" s="213"/>
      <c r="P460" s="212"/>
      <c r="Q460" s="106" t="b">
        <f t="shared" si="32"/>
        <v>1</v>
      </c>
      <c r="R460" s="199">
        <f t="shared" si="31"/>
        <v>2</v>
      </c>
    </row>
    <row r="461" spans="1:18" x14ac:dyDescent="0.3">
      <c r="A461" s="124">
        <v>17</v>
      </c>
      <c r="B461" s="37" t="s">
        <v>906</v>
      </c>
      <c r="C461" s="38">
        <v>25</v>
      </c>
      <c r="D461" s="125" t="s">
        <v>877</v>
      </c>
      <c r="E461" s="123" t="s">
        <v>931</v>
      </c>
      <c r="F461" s="131"/>
      <c r="G461" s="128" t="s">
        <v>53</v>
      </c>
      <c r="H461" s="154" t="s">
        <v>413</v>
      </c>
      <c r="I461" s="155" t="s">
        <v>412</v>
      </c>
      <c r="J461" s="212"/>
      <c r="K461" s="212"/>
      <c r="L461" s="212"/>
      <c r="M461" s="213"/>
      <c r="N461" s="213"/>
      <c r="O461" s="213"/>
      <c r="P461" s="212"/>
      <c r="Q461" s="106" t="b">
        <f t="shared" si="32"/>
        <v>0</v>
      </c>
      <c r="R461" s="199">
        <f t="shared" si="31"/>
        <v>0</v>
      </c>
    </row>
    <row r="462" spans="1:18" x14ac:dyDescent="0.3">
      <c r="A462" s="124">
        <v>17</v>
      </c>
      <c r="B462" s="37" t="s">
        <v>906</v>
      </c>
      <c r="C462" s="38">
        <v>26</v>
      </c>
      <c r="D462" s="125" t="s">
        <v>878</v>
      </c>
      <c r="E462" s="123" t="s">
        <v>932</v>
      </c>
      <c r="F462" s="126" t="s">
        <v>52</v>
      </c>
      <c r="G462" s="131"/>
      <c r="H462" s="122" t="s">
        <v>413</v>
      </c>
      <c r="I462" s="123" t="s">
        <v>412</v>
      </c>
      <c r="J462" s="212" t="s">
        <v>1383</v>
      </c>
      <c r="K462" s="212"/>
      <c r="L462" s="212"/>
      <c r="M462" s="213"/>
      <c r="N462" s="213"/>
      <c r="O462" s="213"/>
      <c r="P462" s="212"/>
      <c r="Q462" s="106" t="b">
        <f t="shared" si="32"/>
        <v>1</v>
      </c>
      <c r="R462" s="199">
        <f t="shared" si="31"/>
        <v>1</v>
      </c>
    </row>
    <row r="463" spans="1:18" x14ac:dyDescent="0.3">
      <c r="A463" s="124">
        <v>17</v>
      </c>
      <c r="B463" s="37" t="s">
        <v>906</v>
      </c>
      <c r="C463" s="38">
        <v>27</v>
      </c>
      <c r="D463" s="125" t="s">
        <v>879</v>
      </c>
      <c r="E463" s="123" t="s">
        <v>933</v>
      </c>
      <c r="F463" s="126" t="s">
        <v>52</v>
      </c>
      <c r="G463" s="131"/>
      <c r="H463" s="122" t="s">
        <v>262</v>
      </c>
      <c r="I463" s="123" t="s">
        <v>580</v>
      </c>
      <c r="J463" s="212" t="s">
        <v>1383</v>
      </c>
      <c r="K463" s="212"/>
      <c r="L463" s="212"/>
      <c r="M463" s="213"/>
      <c r="N463" s="213"/>
      <c r="O463" s="213"/>
      <c r="P463" s="212"/>
      <c r="Q463" s="106" t="b">
        <f t="shared" si="32"/>
        <v>1</v>
      </c>
      <c r="R463" s="199">
        <f t="shared" si="31"/>
        <v>1</v>
      </c>
    </row>
    <row r="464" spans="1:18" x14ac:dyDescent="0.3">
      <c r="A464" s="124">
        <v>17</v>
      </c>
      <c r="B464" s="37" t="s">
        <v>906</v>
      </c>
      <c r="C464" s="38">
        <v>28</v>
      </c>
      <c r="D464" s="125" t="s">
        <v>880</v>
      </c>
      <c r="E464" s="123" t="s">
        <v>934</v>
      </c>
      <c r="F464" s="126" t="s">
        <v>52</v>
      </c>
      <c r="G464" s="131"/>
      <c r="H464" s="122" t="s">
        <v>413</v>
      </c>
      <c r="I464" s="123" t="s">
        <v>412</v>
      </c>
      <c r="J464" s="212" t="s">
        <v>1383</v>
      </c>
      <c r="K464" s="212" t="s">
        <v>1383</v>
      </c>
      <c r="L464" s="212"/>
      <c r="M464" s="213"/>
      <c r="N464" s="213"/>
      <c r="O464" s="213"/>
      <c r="P464" s="212"/>
      <c r="Q464" s="106" t="b">
        <f t="shared" si="32"/>
        <v>1</v>
      </c>
      <c r="R464" s="199">
        <f t="shared" si="31"/>
        <v>2</v>
      </c>
    </row>
    <row r="465" spans="1:18" x14ac:dyDescent="0.3">
      <c r="A465" s="124">
        <v>17</v>
      </c>
      <c r="B465" s="37" t="s">
        <v>906</v>
      </c>
      <c r="C465" s="38">
        <v>29</v>
      </c>
      <c r="D465" s="125" t="s">
        <v>881</v>
      </c>
      <c r="E465" s="123" t="s">
        <v>935</v>
      </c>
      <c r="F465" s="126" t="s">
        <v>52</v>
      </c>
      <c r="G465" s="131"/>
      <c r="H465" s="122" t="s">
        <v>413</v>
      </c>
      <c r="I465" s="123" t="s">
        <v>412</v>
      </c>
      <c r="J465" s="212" t="s">
        <v>1383</v>
      </c>
      <c r="K465" s="212" t="s">
        <v>1383</v>
      </c>
      <c r="L465" s="212"/>
      <c r="M465" s="213"/>
      <c r="N465" s="212" t="s">
        <v>1383</v>
      </c>
      <c r="O465" s="212"/>
      <c r="P465" s="212" t="s">
        <v>1383</v>
      </c>
      <c r="Q465" s="106" t="b">
        <f t="shared" si="32"/>
        <v>1</v>
      </c>
      <c r="R465" s="199">
        <f t="shared" si="31"/>
        <v>4</v>
      </c>
    </row>
    <row r="466" spans="1:18" x14ac:dyDescent="0.3">
      <c r="A466" s="124">
        <v>17</v>
      </c>
      <c r="B466" s="37" t="s">
        <v>906</v>
      </c>
      <c r="C466" s="38">
        <v>30</v>
      </c>
      <c r="D466" s="125" t="s">
        <v>882</v>
      </c>
      <c r="E466" s="123" t="s">
        <v>936</v>
      </c>
      <c r="F466" s="131"/>
      <c r="G466" s="128" t="s">
        <v>53</v>
      </c>
      <c r="H466" s="154" t="s">
        <v>413</v>
      </c>
      <c r="I466" s="155" t="s">
        <v>412</v>
      </c>
      <c r="J466" s="212"/>
      <c r="K466" s="212"/>
      <c r="L466" s="212"/>
      <c r="M466" s="213"/>
      <c r="N466" s="213"/>
      <c r="O466" s="213"/>
      <c r="P466" s="212"/>
      <c r="Q466" s="106" t="b">
        <f t="shared" si="32"/>
        <v>0</v>
      </c>
      <c r="R466" s="199">
        <f t="shared" si="31"/>
        <v>0</v>
      </c>
    </row>
    <row r="467" spans="1:18" x14ac:dyDescent="0.3">
      <c r="A467" s="124">
        <v>17</v>
      </c>
      <c r="B467" s="37" t="s">
        <v>906</v>
      </c>
      <c r="C467" s="38">
        <v>31</v>
      </c>
      <c r="D467" s="125" t="s">
        <v>883</v>
      </c>
      <c r="E467" s="123" t="s">
        <v>937</v>
      </c>
      <c r="F467" s="126" t="s">
        <v>52</v>
      </c>
      <c r="G467" s="131"/>
      <c r="H467" s="122" t="s">
        <v>262</v>
      </c>
      <c r="I467" s="123" t="s">
        <v>580</v>
      </c>
      <c r="J467" s="212" t="s">
        <v>1383</v>
      </c>
      <c r="K467" s="212"/>
      <c r="L467" s="212"/>
      <c r="M467" s="213"/>
      <c r="N467" s="213"/>
      <c r="O467" s="213"/>
      <c r="P467" s="212"/>
      <c r="Q467" s="106" t="b">
        <f t="shared" si="32"/>
        <v>1</v>
      </c>
      <c r="R467" s="199">
        <f t="shared" si="31"/>
        <v>1</v>
      </c>
    </row>
    <row r="468" spans="1:18" x14ac:dyDescent="0.3">
      <c r="A468" s="124">
        <v>17</v>
      </c>
      <c r="B468" s="37" t="s">
        <v>906</v>
      </c>
      <c r="C468" s="38">
        <v>32</v>
      </c>
      <c r="D468" s="125" t="s">
        <v>884</v>
      </c>
      <c r="E468" s="123" t="s">
        <v>938</v>
      </c>
      <c r="F468" s="126" t="s">
        <v>52</v>
      </c>
      <c r="G468" s="131"/>
      <c r="H468" s="122" t="s">
        <v>413</v>
      </c>
      <c r="I468" s="123" t="s">
        <v>412</v>
      </c>
      <c r="J468" s="212" t="s">
        <v>1383</v>
      </c>
      <c r="K468" s="212" t="s">
        <v>1383</v>
      </c>
      <c r="L468" s="212"/>
      <c r="M468" s="213"/>
      <c r="N468" s="213"/>
      <c r="O468" s="213"/>
      <c r="P468" s="212" t="s">
        <v>1383</v>
      </c>
      <c r="Q468" s="106" t="b">
        <f t="shared" si="32"/>
        <v>1</v>
      </c>
      <c r="R468" s="199">
        <f t="shared" si="31"/>
        <v>3</v>
      </c>
    </row>
    <row r="469" spans="1:18" x14ac:dyDescent="0.3">
      <c r="A469" s="124">
        <v>17</v>
      </c>
      <c r="B469" s="37" t="s">
        <v>906</v>
      </c>
      <c r="C469" s="38">
        <v>33</v>
      </c>
      <c r="D469" s="125" t="s">
        <v>885</v>
      </c>
      <c r="E469" s="123" t="s">
        <v>939</v>
      </c>
      <c r="F469" s="126" t="s">
        <v>52</v>
      </c>
      <c r="G469" s="131"/>
      <c r="H469" s="122" t="s">
        <v>415</v>
      </c>
      <c r="I469" s="123" t="s">
        <v>414</v>
      </c>
      <c r="J469" s="212" t="s">
        <v>1383</v>
      </c>
      <c r="K469" s="212"/>
      <c r="L469" s="212"/>
      <c r="M469" s="213"/>
      <c r="N469" s="213"/>
      <c r="O469" s="213"/>
      <c r="P469" s="212" t="s">
        <v>1383</v>
      </c>
      <c r="Q469" s="106" t="b">
        <f t="shared" si="32"/>
        <v>1</v>
      </c>
      <c r="R469" s="199">
        <f t="shared" si="31"/>
        <v>2</v>
      </c>
    </row>
    <row r="470" spans="1:18" x14ac:dyDescent="0.3">
      <c r="A470" s="124">
        <v>17</v>
      </c>
      <c r="B470" s="37" t="s">
        <v>906</v>
      </c>
      <c r="C470" s="38">
        <v>34</v>
      </c>
      <c r="D470" s="125" t="s">
        <v>194</v>
      </c>
      <c r="E470" s="123" t="s">
        <v>940</v>
      </c>
      <c r="F470" s="126" t="s">
        <v>52</v>
      </c>
      <c r="G470" s="131"/>
      <c r="H470" s="122" t="s">
        <v>413</v>
      </c>
      <c r="I470" s="123" t="s">
        <v>412</v>
      </c>
      <c r="J470" s="212" t="s">
        <v>1383</v>
      </c>
      <c r="K470" s="212"/>
      <c r="L470" s="212" t="s">
        <v>1383</v>
      </c>
      <c r="M470" s="213"/>
      <c r="N470" s="213"/>
      <c r="O470" s="213"/>
      <c r="P470" s="212"/>
      <c r="Q470" s="106" t="b">
        <f t="shared" si="32"/>
        <v>1</v>
      </c>
      <c r="R470" s="199">
        <f t="shared" si="31"/>
        <v>2</v>
      </c>
    </row>
    <row r="471" spans="1:18" x14ac:dyDescent="0.3">
      <c r="A471" s="124">
        <v>17</v>
      </c>
      <c r="B471" s="37" t="s">
        <v>906</v>
      </c>
      <c r="C471" s="38">
        <v>35</v>
      </c>
      <c r="D471" s="125" t="s">
        <v>886</v>
      </c>
      <c r="E471" s="123" t="s">
        <v>941</v>
      </c>
      <c r="F471" s="126" t="s">
        <v>52</v>
      </c>
      <c r="G471" s="131"/>
      <c r="H471" s="122" t="s">
        <v>413</v>
      </c>
      <c r="I471" s="123" t="s">
        <v>412</v>
      </c>
      <c r="J471" s="212" t="s">
        <v>1383</v>
      </c>
      <c r="K471" s="212" t="s">
        <v>1383</v>
      </c>
      <c r="L471" s="212" t="s">
        <v>1383</v>
      </c>
      <c r="M471" s="213"/>
      <c r="N471" s="213"/>
      <c r="O471" s="213"/>
      <c r="P471" s="212"/>
      <c r="Q471" s="106" t="b">
        <f t="shared" si="32"/>
        <v>1</v>
      </c>
      <c r="R471" s="199">
        <f t="shared" si="31"/>
        <v>3</v>
      </c>
    </row>
    <row r="472" spans="1:18" x14ac:dyDescent="0.3">
      <c r="A472" s="124">
        <v>17</v>
      </c>
      <c r="B472" s="37" t="s">
        <v>906</v>
      </c>
      <c r="C472" s="38">
        <v>36</v>
      </c>
      <c r="D472" s="125" t="s">
        <v>887</v>
      </c>
      <c r="E472" s="123" t="s">
        <v>942</v>
      </c>
      <c r="F472" s="126" t="s">
        <v>52</v>
      </c>
      <c r="G472" s="131"/>
      <c r="H472" s="122" t="s">
        <v>1342</v>
      </c>
      <c r="I472" s="123" t="s">
        <v>577</v>
      </c>
      <c r="J472" s="212" t="s">
        <v>1383</v>
      </c>
      <c r="K472" s="212" t="s">
        <v>1383</v>
      </c>
      <c r="L472" s="212"/>
      <c r="M472" s="213"/>
      <c r="N472" s="213"/>
      <c r="O472" s="213"/>
      <c r="P472" s="212"/>
      <c r="Q472" s="106" t="b">
        <f t="shared" si="32"/>
        <v>1</v>
      </c>
      <c r="R472" s="199">
        <f t="shared" si="31"/>
        <v>2</v>
      </c>
    </row>
    <row r="473" spans="1:18" x14ac:dyDescent="0.3">
      <c r="A473" s="124">
        <v>17</v>
      </c>
      <c r="B473" s="37" t="s">
        <v>906</v>
      </c>
      <c r="C473" s="38">
        <v>37</v>
      </c>
      <c r="D473" s="125" t="s">
        <v>888</v>
      </c>
      <c r="E473" s="123" t="s">
        <v>943</v>
      </c>
      <c r="F473" s="126" t="s">
        <v>52</v>
      </c>
      <c r="G473" s="131"/>
      <c r="H473" s="122" t="s">
        <v>413</v>
      </c>
      <c r="I473" s="123" t="s">
        <v>412</v>
      </c>
      <c r="J473" s="212" t="s">
        <v>1383</v>
      </c>
      <c r="K473" s="212" t="s">
        <v>1383</v>
      </c>
      <c r="L473" s="212" t="s">
        <v>1383</v>
      </c>
      <c r="M473" s="213"/>
      <c r="N473" s="213"/>
      <c r="O473" s="213"/>
      <c r="P473" s="212"/>
      <c r="Q473" s="106" t="b">
        <f t="shared" si="32"/>
        <v>1</v>
      </c>
      <c r="R473" s="199">
        <f t="shared" si="31"/>
        <v>3</v>
      </c>
    </row>
    <row r="474" spans="1:18" x14ac:dyDescent="0.3">
      <c r="A474" s="124">
        <v>17</v>
      </c>
      <c r="B474" s="37" t="s">
        <v>906</v>
      </c>
      <c r="C474" s="38">
        <v>38</v>
      </c>
      <c r="D474" s="125" t="s">
        <v>889</v>
      </c>
      <c r="E474" s="123" t="s">
        <v>944</v>
      </c>
      <c r="F474" s="126" t="s">
        <v>52</v>
      </c>
      <c r="G474" s="131"/>
      <c r="H474" s="122" t="s">
        <v>415</v>
      </c>
      <c r="I474" s="123" t="s">
        <v>414</v>
      </c>
      <c r="J474" s="212"/>
      <c r="K474" s="212"/>
      <c r="L474" s="212"/>
      <c r="M474" s="213"/>
      <c r="N474" s="212" t="s">
        <v>1383</v>
      </c>
      <c r="O474" s="212"/>
      <c r="P474" s="212" t="s">
        <v>1383</v>
      </c>
      <c r="Q474" s="106" t="b">
        <f t="shared" si="32"/>
        <v>1</v>
      </c>
      <c r="R474" s="199">
        <f t="shared" si="31"/>
        <v>2</v>
      </c>
    </row>
    <row r="475" spans="1:18" x14ac:dyDescent="0.3">
      <c r="A475" s="124">
        <v>17</v>
      </c>
      <c r="B475" s="37" t="s">
        <v>906</v>
      </c>
      <c r="C475" s="38">
        <v>39</v>
      </c>
      <c r="D475" s="125" t="s">
        <v>890</v>
      </c>
      <c r="E475" s="123" t="s">
        <v>945</v>
      </c>
      <c r="F475" s="126" t="s">
        <v>52</v>
      </c>
      <c r="G475" s="131"/>
      <c r="H475" s="122" t="s">
        <v>413</v>
      </c>
      <c r="I475" s="123" t="s">
        <v>412</v>
      </c>
      <c r="J475" s="212" t="s">
        <v>1383</v>
      </c>
      <c r="K475" s="212"/>
      <c r="L475" s="212"/>
      <c r="M475" s="213"/>
      <c r="N475" s="213"/>
      <c r="O475" s="213"/>
      <c r="P475" s="212"/>
      <c r="Q475" s="106" t="b">
        <f>IF(COUNTA(J475:P475)=0,FALSE,TRUE)</f>
        <v>1</v>
      </c>
      <c r="R475" s="199">
        <f t="shared" si="31"/>
        <v>1</v>
      </c>
    </row>
    <row r="476" spans="1:18" x14ac:dyDescent="0.3">
      <c r="A476" s="124">
        <v>17</v>
      </c>
      <c r="B476" s="37" t="s">
        <v>906</v>
      </c>
      <c r="C476" s="38">
        <v>40</v>
      </c>
      <c r="D476" s="125" t="s">
        <v>891</v>
      </c>
      <c r="E476" s="123" t="s">
        <v>946</v>
      </c>
      <c r="F476" s="126" t="s">
        <v>52</v>
      </c>
      <c r="G476" s="131"/>
      <c r="H476" s="122" t="s">
        <v>415</v>
      </c>
      <c r="I476" s="123" t="s">
        <v>414</v>
      </c>
      <c r="J476" s="212" t="s">
        <v>1383</v>
      </c>
      <c r="K476" s="212" t="s">
        <v>1383</v>
      </c>
      <c r="L476" s="212"/>
      <c r="M476" s="213"/>
      <c r="N476" s="212" t="s">
        <v>1383</v>
      </c>
      <c r="O476" s="212"/>
      <c r="P476" s="212" t="s">
        <v>1383</v>
      </c>
      <c r="Q476" s="106" t="b">
        <f t="shared" si="32"/>
        <v>1</v>
      </c>
      <c r="R476" s="199">
        <f t="shared" si="31"/>
        <v>4</v>
      </c>
    </row>
    <row r="477" spans="1:18" x14ac:dyDescent="0.3">
      <c r="A477" s="124">
        <v>17</v>
      </c>
      <c r="B477" s="37" t="s">
        <v>906</v>
      </c>
      <c r="C477" s="38">
        <v>41</v>
      </c>
      <c r="D477" s="125" t="s">
        <v>892</v>
      </c>
      <c r="E477" s="123" t="s">
        <v>947</v>
      </c>
      <c r="F477" s="126" t="s">
        <v>52</v>
      </c>
      <c r="G477" s="131"/>
      <c r="H477" s="122" t="s">
        <v>415</v>
      </c>
      <c r="I477" s="123" t="s">
        <v>414</v>
      </c>
      <c r="J477" s="212" t="s">
        <v>1383</v>
      </c>
      <c r="K477" s="212"/>
      <c r="L477" s="212"/>
      <c r="M477" s="213"/>
      <c r="N477" s="213"/>
      <c r="O477" s="213"/>
      <c r="P477" s="212"/>
      <c r="Q477" s="106" t="b">
        <f t="shared" si="32"/>
        <v>1</v>
      </c>
      <c r="R477" s="199">
        <f t="shared" si="31"/>
        <v>1</v>
      </c>
    </row>
    <row r="478" spans="1:18" x14ac:dyDescent="0.3">
      <c r="A478" s="124">
        <v>17</v>
      </c>
      <c r="B478" s="37" t="s">
        <v>906</v>
      </c>
      <c r="C478" s="38">
        <v>42</v>
      </c>
      <c r="D478" s="125" t="s">
        <v>893</v>
      </c>
      <c r="E478" s="123" t="s">
        <v>948</v>
      </c>
      <c r="F478" s="126" t="s">
        <v>52</v>
      </c>
      <c r="G478" s="131"/>
      <c r="H478" s="122" t="s">
        <v>415</v>
      </c>
      <c r="I478" s="123" t="s">
        <v>414</v>
      </c>
      <c r="J478" s="212" t="s">
        <v>1383</v>
      </c>
      <c r="K478" s="212"/>
      <c r="L478" s="212"/>
      <c r="M478" s="213"/>
      <c r="N478" s="213"/>
      <c r="O478" s="213"/>
      <c r="P478" s="212" t="s">
        <v>1383</v>
      </c>
      <c r="Q478" s="106" t="b">
        <f t="shared" si="32"/>
        <v>1</v>
      </c>
      <c r="R478" s="199">
        <f t="shared" si="31"/>
        <v>2</v>
      </c>
    </row>
    <row r="479" spans="1:18" x14ac:dyDescent="0.3">
      <c r="A479" s="124">
        <v>17</v>
      </c>
      <c r="B479" s="37" t="s">
        <v>906</v>
      </c>
      <c r="C479" s="38">
        <v>43</v>
      </c>
      <c r="D479" s="125" t="s">
        <v>894</v>
      </c>
      <c r="E479" s="123" t="s">
        <v>949</v>
      </c>
      <c r="F479" s="126" t="s">
        <v>52</v>
      </c>
      <c r="G479" s="131"/>
      <c r="H479" s="122" t="s">
        <v>413</v>
      </c>
      <c r="I479" s="123" t="s">
        <v>412</v>
      </c>
      <c r="J479" s="212" t="s">
        <v>1383</v>
      </c>
      <c r="K479" s="212"/>
      <c r="L479" s="212" t="s">
        <v>1383</v>
      </c>
      <c r="M479" s="213"/>
      <c r="N479" s="213"/>
      <c r="O479" s="213"/>
      <c r="P479" s="212"/>
      <c r="Q479" s="106" t="b">
        <f t="shared" si="32"/>
        <v>1</v>
      </c>
      <c r="R479" s="199">
        <f t="shared" si="31"/>
        <v>2</v>
      </c>
    </row>
    <row r="480" spans="1:18" x14ac:dyDescent="0.3">
      <c r="A480" s="124">
        <v>17</v>
      </c>
      <c r="B480" s="37" t="s">
        <v>906</v>
      </c>
      <c r="C480" s="38">
        <v>44</v>
      </c>
      <c r="D480" s="125" t="s">
        <v>895</v>
      </c>
      <c r="E480" s="123" t="s">
        <v>950</v>
      </c>
      <c r="F480" s="126" t="s">
        <v>52</v>
      </c>
      <c r="G480" s="131"/>
      <c r="H480" s="122" t="s">
        <v>415</v>
      </c>
      <c r="I480" s="123" t="s">
        <v>414</v>
      </c>
      <c r="J480" s="212" t="s">
        <v>1383</v>
      </c>
      <c r="K480" s="212"/>
      <c r="L480" s="212" t="s">
        <v>1383</v>
      </c>
      <c r="M480" s="213"/>
      <c r="N480" s="213"/>
      <c r="O480" s="213"/>
      <c r="P480" s="212"/>
      <c r="Q480" s="106" t="b">
        <f t="shared" si="32"/>
        <v>1</v>
      </c>
      <c r="R480" s="199">
        <f t="shared" si="31"/>
        <v>2</v>
      </c>
    </row>
    <row r="481" spans="1:18" x14ac:dyDescent="0.3">
      <c r="A481" s="124">
        <v>17</v>
      </c>
      <c r="B481" s="37" t="s">
        <v>906</v>
      </c>
      <c r="C481" s="38">
        <v>45</v>
      </c>
      <c r="D481" s="125" t="s">
        <v>896</v>
      </c>
      <c r="E481" s="123" t="s">
        <v>951</v>
      </c>
      <c r="F481" s="126" t="s">
        <v>52</v>
      </c>
      <c r="G481" s="131"/>
      <c r="H481" s="122" t="s">
        <v>413</v>
      </c>
      <c r="I481" s="123" t="s">
        <v>412</v>
      </c>
      <c r="J481" s="212" t="s">
        <v>1383</v>
      </c>
      <c r="K481" s="212"/>
      <c r="L481" s="212"/>
      <c r="M481" s="213"/>
      <c r="N481" s="213"/>
      <c r="O481" s="213"/>
      <c r="P481" s="212"/>
      <c r="Q481" s="106" t="b">
        <f t="shared" si="32"/>
        <v>1</v>
      </c>
      <c r="R481" s="199">
        <f t="shared" si="31"/>
        <v>1</v>
      </c>
    </row>
    <row r="482" spans="1:18" x14ac:dyDescent="0.3">
      <c r="A482" s="124">
        <v>17</v>
      </c>
      <c r="B482" s="37" t="s">
        <v>906</v>
      </c>
      <c r="C482" s="38">
        <v>46</v>
      </c>
      <c r="D482" s="125" t="s">
        <v>897</v>
      </c>
      <c r="E482" s="123" t="s">
        <v>952</v>
      </c>
      <c r="F482" s="126" t="s">
        <v>52</v>
      </c>
      <c r="G482" s="131"/>
      <c r="H482" s="122" t="s">
        <v>415</v>
      </c>
      <c r="I482" s="123" t="s">
        <v>414</v>
      </c>
      <c r="J482" s="212" t="s">
        <v>1383</v>
      </c>
      <c r="K482" s="212" t="s">
        <v>1383</v>
      </c>
      <c r="L482" s="212"/>
      <c r="M482" s="213"/>
      <c r="N482" s="213"/>
      <c r="O482" s="213"/>
      <c r="P482" s="212"/>
      <c r="Q482" s="106" t="b">
        <f t="shared" si="32"/>
        <v>1</v>
      </c>
      <c r="R482" s="199">
        <f t="shared" si="31"/>
        <v>2</v>
      </c>
    </row>
    <row r="483" spans="1:18" x14ac:dyDescent="0.3">
      <c r="A483" s="124">
        <v>17</v>
      </c>
      <c r="B483" s="37" t="s">
        <v>906</v>
      </c>
      <c r="C483" s="38">
        <v>47</v>
      </c>
      <c r="D483" s="125" t="s">
        <v>898</v>
      </c>
      <c r="E483" s="123" t="s">
        <v>953</v>
      </c>
      <c r="F483" s="126" t="s">
        <v>52</v>
      </c>
      <c r="G483" s="131"/>
      <c r="H483" s="122" t="s">
        <v>415</v>
      </c>
      <c r="I483" s="123" t="s">
        <v>414</v>
      </c>
      <c r="J483" s="212" t="s">
        <v>1383</v>
      </c>
      <c r="K483" s="212"/>
      <c r="L483" s="212"/>
      <c r="M483" s="213"/>
      <c r="N483" s="212" t="s">
        <v>1383</v>
      </c>
      <c r="O483" s="212"/>
      <c r="P483" s="212" t="s">
        <v>1383</v>
      </c>
      <c r="Q483" s="106" t="b">
        <f t="shared" si="32"/>
        <v>1</v>
      </c>
      <c r="R483" s="199">
        <f t="shared" si="31"/>
        <v>3</v>
      </c>
    </row>
    <row r="484" spans="1:18" x14ac:dyDescent="0.3">
      <c r="A484" s="124">
        <v>17</v>
      </c>
      <c r="B484" s="37" t="s">
        <v>906</v>
      </c>
      <c r="C484" s="38">
        <v>48</v>
      </c>
      <c r="D484" s="125" t="s">
        <v>899</v>
      </c>
      <c r="E484" s="123" t="s">
        <v>954</v>
      </c>
      <c r="F484" s="126" t="s">
        <v>52</v>
      </c>
      <c r="G484" s="131"/>
      <c r="H484" s="122" t="s">
        <v>1342</v>
      </c>
      <c r="I484" s="123" t="s">
        <v>577</v>
      </c>
      <c r="J484" s="212" t="s">
        <v>1383</v>
      </c>
      <c r="K484" s="212"/>
      <c r="L484" s="212"/>
      <c r="M484" s="213"/>
      <c r="N484" s="213"/>
      <c r="O484" s="213"/>
      <c r="P484" s="212" t="s">
        <v>1383</v>
      </c>
      <c r="Q484" s="106" t="b">
        <f t="shared" si="32"/>
        <v>1</v>
      </c>
      <c r="R484" s="199">
        <f t="shared" si="31"/>
        <v>2</v>
      </c>
    </row>
    <row r="485" spans="1:18" x14ac:dyDescent="0.3">
      <c r="A485" s="124">
        <v>17</v>
      </c>
      <c r="B485" s="37" t="s">
        <v>906</v>
      </c>
      <c r="C485" s="38">
        <v>49</v>
      </c>
      <c r="D485" s="125" t="s">
        <v>900</v>
      </c>
      <c r="E485" s="123" t="s">
        <v>955</v>
      </c>
      <c r="F485" s="126" t="s">
        <v>52</v>
      </c>
      <c r="G485" s="131"/>
      <c r="H485" s="122" t="s">
        <v>1342</v>
      </c>
      <c r="I485" s="123" t="s">
        <v>577</v>
      </c>
      <c r="J485" s="212" t="s">
        <v>1383</v>
      </c>
      <c r="K485" s="212"/>
      <c r="L485" s="212"/>
      <c r="M485" s="213"/>
      <c r="N485" s="213"/>
      <c r="O485" s="213"/>
      <c r="P485" s="212"/>
      <c r="Q485" s="106" t="b">
        <f t="shared" si="32"/>
        <v>1</v>
      </c>
      <c r="R485" s="199">
        <f t="shared" si="31"/>
        <v>1</v>
      </c>
    </row>
    <row r="486" spans="1:18" x14ac:dyDescent="0.3">
      <c r="A486" s="124">
        <v>17</v>
      </c>
      <c r="B486" s="37" t="s">
        <v>906</v>
      </c>
      <c r="C486" s="38">
        <v>50</v>
      </c>
      <c r="D486" s="125" t="s">
        <v>901</v>
      </c>
      <c r="E486" s="123" t="s">
        <v>956</v>
      </c>
      <c r="F486" s="131"/>
      <c r="G486" s="128" t="s">
        <v>53</v>
      </c>
      <c r="H486" s="154" t="s">
        <v>413</v>
      </c>
      <c r="I486" s="155" t="s">
        <v>412</v>
      </c>
      <c r="J486" s="212"/>
      <c r="K486" s="212"/>
      <c r="L486" s="212"/>
      <c r="M486" s="213"/>
      <c r="N486" s="213"/>
      <c r="O486" s="213"/>
      <c r="P486" s="212"/>
      <c r="Q486" s="106" t="b">
        <f t="shared" si="32"/>
        <v>0</v>
      </c>
      <c r="R486" s="199">
        <f t="shared" si="31"/>
        <v>0</v>
      </c>
    </row>
    <row r="487" spans="1:18" x14ac:dyDescent="0.3">
      <c r="A487" s="124">
        <v>17</v>
      </c>
      <c r="B487" s="37" t="s">
        <v>906</v>
      </c>
      <c r="C487" s="38">
        <v>51</v>
      </c>
      <c r="D487" s="125" t="s">
        <v>902</v>
      </c>
      <c r="E487" s="123" t="s">
        <v>957</v>
      </c>
      <c r="F487" s="126" t="s">
        <v>52</v>
      </c>
      <c r="G487" s="131"/>
      <c r="H487" s="122" t="s">
        <v>262</v>
      </c>
      <c r="I487" s="123" t="s">
        <v>580</v>
      </c>
      <c r="J487" s="212" t="s">
        <v>1383</v>
      </c>
      <c r="K487" s="212"/>
      <c r="L487" s="212"/>
      <c r="M487" s="213"/>
      <c r="N487" s="213"/>
      <c r="O487" s="213"/>
      <c r="P487" s="212"/>
      <c r="Q487" s="106" t="b">
        <f t="shared" si="32"/>
        <v>1</v>
      </c>
      <c r="R487" s="199">
        <f t="shared" si="31"/>
        <v>1</v>
      </c>
    </row>
    <row r="488" spans="1:18" x14ac:dyDescent="0.3">
      <c r="A488" s="124">
        <v>17</v>
      </c>
      <c r="B488" s="37" t="s">
        <v>906</v>
      </c>
      <c r="C488" s="38">
        <v>52</v>
      </c>
      <c r="D488" s="125" t="s">
        <v>903</v>
      </c>
      <c r="E488" s="123" t="s">
        <v>958</v>
      </c>
      <c r="F488" s="126" t="s">
        <v>52</v>
      </c>
      <c r="G488" s="131"/>
      <c r="H488" s="122" t="s">
        <v>262</v>
      </c>
      <c r="I488" s="123" t="s">
        <v>580</v>
      </c>
      <c r="J488" s="212" t="s">
        <v>1383</v>
      </c>
      <c r="K488" s="212"/>
      <c r="L488" s="212"/>
      <c r="M488" s="213"/>
      <c r="N488" s="213"/>
      <c r="O488" s="213"/>
      <c r="P488" s="212"/>
      <c r="Q488" s="106" t="b">
        <f t="shared" si="32"/>
        <v>1</v>
      </c>
      <c r="R488" s="199">
        <f t="shared" si="31"/>
        <v>1</v>
      </c>
    </row>
    <row r="489" spans="1:18" x14ac:dyDescent="0.3">
      <c r="A489" s="124">
        <v>17</v>
      </c>
      <c r="B489" s="37" t="s">
        <v>906</v>
      </c>
      <c r="C489" s="38">
        <v>53</v>
      </c>
      <c r="D489" s="125" t="s">
        <v>904</v>
      </c>
      <c r="E489" s="123" t="s">
        <v>959</v>
      </c>
      <c r="F489" s="126" t="s">
        <v>52</v>
      </c>
      <c r="G489" s="131"/>
      <c r="H489" s="122" t="s">
        <v>413</v>
      </c>
      <c r="I489" s="123" t="s">
        <v>412</v>
      </c>
      <c r="J489" s="212" t="s">
        <v>1383</v>
      </c>
      <c r="K489" s="212"/>
      <c r="L489" s="212"/>
      <c r="M489" s="213"/>
      <c r="N489" s="213"/>
      <c r="O489" s="213"/>
      <c r="P489" s="212"/>
      <c r="Q489" s="106" t="b">
        <f t="shared" si="32"/>
        <v>1</v>
      </c>
      <c r="R489" s="199">
        <f t="shared" si="31"/>
        <v>1</v>
      </c>
    </row>
    <row r="490" spans="1:18" ht="19.5" thickBot="1" x14ac:dyDescent="0.35">
      <c r="A490" s="161">
        <v>17</v>
      </c>
      <c r="B490" s="47" t="s">
        <v>906</v>
      </c>
      <c r="C490" s="48">
        <v>54</v>
      </c>
      <c r="D490" s="166" t="s">
        <v>905</v>
      </c>
      <c r="E490" s="148" t="s">
        <v>960</v>
      </c>
      <c r="F490" s="162" t="s">
        <v>52</v>
      </c>
      <c r="G490" s="167"/>
      <c r="H490" s="147" t="s">
        <v>415</v>
      </c>
      <c r="I490" s="148" t="s">
        <v>414</v>
      </c>
      <c r="J490" s="215" t="s">
        <v>1383</v>
      </c>
      <c r="K490" s="215"/>
      <c r="L490" s="215"/>
      <c r="M490" s="216"/>
      <c r="N490" s="216"/>
      <c r="O490" s="216"/>
      <c r="P490" s="215"/>
      <c r="Q490" s="106" t="b">
        <f t="shared" si="32"/>
        <v>1</v>
      </c>
      <c r="R490" s="205">
        <f t="shared" si="31"/>
        <v>1</v>
      </c>
    </row>
    <row r="491" spans="1:18" ht="19.5" hidden="1" thickBot="1" x14ac:dyDescent="0.3">
      <c r="A491" s="137">
        <f>A490</f>
        <v>17</v>
      </c>
      <c r="B491" s="138" t="str">
        <f>B490</f>
        <v>PAGADIAN</v>
      </c>
      <c r="C491" s="15">
        <f>COUNTA(C437:C490)</f>
        <v>54</v>
      </c>
      <c r="D491" s="139" t="s">
        <v>1</v>
      </c>
      <c r="E491" s="139" t="s">
        <v>1374</v>
      </c>
      <c r="F491" s="15">
        <f>COUNTA(F437:F490)</f>
        <v>51</v>
      </c>
      <c r="G491" s="15">
        <f>COUNTA(G437:G490)</f>
        <v>3</v>
      </c>
      <c r="H491" s="291" t="s">
        <v>3</v>
      </c>
      <c r="I491" s="292"/>
      <c r="J491" s="15">
        <f t="shared" ref="J491:P491" si="33">COUNTA(J437:J490)</f>
        <v>49</v>
      </c>
      <c r="K491" s="15">
        <f t="shared" si="33"/>
        <v>16</v>
      </c>
      <c r="L491" s="15">
        <f t="shared" si="33"/>
        <v>7</v>
      </c>
      <c r="M491" s="15">
        <f t="shared" si="33"/>
        <v>1</v>
      </c>
      <c r="N491" s="15">
        <f t="shared" si="33"/>
        <v>10</v>
      </c>
      <c r="O491" s="15">
        <f t="shared" si="33"/>
        <v>0</v>
      </c>
      <c r="P491" s="15">
        <f t="shared" si="33"/>
        <v>16</v>
      </c>
      <c r="Q491" s="22">
        <f>COUNTIF(Q437:Q490,TRUE)</f>
        <v>50</v>
      </c>
      <c r="R491" s="249">
        <f>SUM(J491:P491)</f>
        <v>99</v>
      </c>
    </row>
    <row r="492" spans="1:18" x14ac:dyDescent="0.3">
      <c r="A492" s="119">
        <v>18</v>
      </c>
      <c r="B492" s="41" t="s">
        <v>974</v>
      </c>
      <c r="C492" s="44">
        <v>1</v>
      </c>
      <c r="D492" s="150" t="s">
        <v>962</v>
      </c>
      <c r="E492" s="153" t="s">
        <v>975</v>
      </c>
      <c r="F492" s="151" t="s">
        <v>52</v>
      </c>
      <c r="G492" s="168"/>
      <c r="H492" s="152" t="s">
        <v>350</v>
      </c>
      <c r="I492" s="153" t="s">
        <v>993</v>
      </c>
      <c r="J492" s="218" t="s">
        <v>1383</v>
      </c>
      <c r="K492" s="218"/>
      <c r="L492" s="218"/>
      <c r="M492" s="219"/>
      <c r="N492" s="219"/>
      <c r="O492" s="219"/>
      <c r="P492" s="218"/>
      <c r="Q492" s="243" t="b">
        <f t="shared" si="32"/>
        <v>1</v>
      </c>
      <c r="R492" s="208">
        <f t="shared" si="31"/>
        <v>1</v>
      </c>
    </row>
    <row r="493" spans="1:18" x14ac:dyDescent="0.3">
      <c r="A493" s="124">
        <v>18</v>
      </c>
      <c r="B493" s="37" t="s">
        <v>974</v>
      </c>
      <c r="C493" s="38">
        <v>2</v>
      </c>
      <c r="D493" s="125" t="s">
        <v>963</v>
      </c>
      <c r="E493" s="123" t="s">
        <v>977</v>
      </c>
      <c r="F493" s="126" t="s">
        <v>52</v>
      </c>
      <c r="G493" s="131"/>
      <c r="H493" s="122" t="s">
        <v>349</v>
      </c>
      <c r="I493" s="123" t="s">
        <v>992</v>
      </c>
      <c r="J493" s="212" t="s">
        <v>1383</v>
      </c>
      <c r="K493" s="212"/>
      <c r="L493" s="212"/>
      <c r="M493" s="213"/>
      <c r="N493" s="212" t="s">
        <v>1383</v>
      </c>
      <c r="O493" s="212"/>
      <c r="P493" s="212"/>
      <c r="Q493" s="106" t="b">
        <f t="shared" si="32"/>
        <v>1</v>
      </c>
      <c r="R493" s="199">
        <f t="shared" si="31"/>
        <v>2</v>
      </c>
    </row>
    <row r="494" spans="1:18" x14ac:dyDescent="0.3">
      <c r="A494" s="124">
        <v>18</v>
      </c>
      <c r="B494" s="37" t="s">
        <v>974</v>
      </c>
      <c r="C494" s="38">
        <v>3</v>
      </c>
      <c r="D494" s="125" t="s">
        <v>964</v>
      </c>
      <c r="E494" s="123" t="s">
        <v>976</v>
      </c>
      <c r="F494" s="131"/>
      <c r="G494" s="128" t="s">
        <v>53</v>
      </c>
      <c r="H494" s="154" t="s">
        <v>991</v>
      </c>
      <c r="I494" s="155" t="s">
        <v>990</v>
      </c>
      <c r="J494" s="212"/>
      <c r="K494" s="212"/>
      <c r="L494" s="212"/>
      <c r="M494" s="213"/>
      <c r="N494" s="213"/>
      <c r="O494" s="213"/>
      <c r="P494" s="212"/>
      <c r="Q494" s="106" t="b">
        <f t="shared" si="32"/>
        <v>0</v>
      </c>
      <c r="R494" s="199">
        <f t="shared" si="31"/>
        <v>0</v>
      </c>
    </row>
    <row r="495" spans="1:18" x14ac:dyDescent="0.3">
      <c r="A495" s="124">
        <v>18</v>
      </c>
      <c r="B495" s="37" t="s">
        <v>974</v>
      </c>
      <c r="C495" s="38">
        <v>4</v>
      </c>
      <c r="D495" s="125" t="s">
        <v>965</v>
      </c>
      <c r="E495" s="123" t="s">
        <v>978</v>
      </c>
      <c r="F495" s="126" t="s">
        <v>52</v>
      </c>
      <c r="G495" s="131"/>
      <c r="H495" s="122" t="s">
        <v>350</v>
      </c>
      <c r="I495" s="123" t="s">
        <v>993</v>
      </c>
      <c r="J495" s="212" t="s">
        <v>1383</v>
      </c>
      <c r="K495" s="212"/>
      <c r="L495" s="212"/>
      <c r="M495" s="213"/>
      <c r="N495" s="213"/>
      <c r="O495" s="213"/>
      <c r="P495" s="212"/>
      <c r="Q495" s="106" t="b">
        <f t="shared" si="32"/>
        <v>1</v>
      </c>
      <c r="R495" s="199">
        <f t="shared" si="31"/>
        <v>1</v>
      </c>
    </row>
    <row r="496" spans="1:18" x14ac:dyDescent="0.3">
      <c r="A496" s="124">
        <v>18</v>
      </c>
      <c r="B496" s="37" t="s">
        <v>974</v>
      </c>
      <c r="C496" s="38">
        <v>5</v>
      </c>
      <c r="D496" s="125" t="s">
        <v>966</v>
      </c>
      <c r="E496" s="123" t="s">
        <v>979</v>
      </c>
      <c r="F496" s="126" t="s">
        <v>52</v>
      </c>
      <c r="G496" s="131"/>
      <c r="H496" s="122" t="s">
        <v>350</v>
      </c>
      <c r="I496" s="123" t="s">
        <v>993</v>
      </c>
      <c r="J496" s="212" t="s">
        <v>1383</v>
      </c>
      <c r="K496" s="212" t="s">
        <v>1383</v>
      </c>
      <c r="L496" s="212"/>
      <c r="M496" s="213"/>
      <c r="N496" s="213"/>
      <c r="O496" s="213"/>
      <c r="P496" s="212"/>
      <c r="Q496" s="106" t="b">
        <f t="shared" si="32"/>
        <v>1</v>
      </c>
      <c r="R496" s="199">
        <f t="shared" si="31"/>
        <v>2</v>
      </c>
    </row>
    <row r="497" spans="1:18" x14ac:dyDescent="0.3">
      <c r="A497" s="124">
        <v>18</v>
      </c>
      <c r="B497" s="37" t="s">
        <v>974</v>
      </c>
      <c r="C497" s="38">
        <v>6</v>
      </c>
      <c r="D497" s="125" t="s">
        <v>967</v>
      </c>
      <c r="E497" s="123" t="s">
        <v>980</v>
      </c>
      <c r="F497" s="131"/>
      <c r="G497" s="128" t="s">
        <v>53</v>
      </c>
      <c r="H497" s="154" t="s">
        <v>995</v>
      </c>
      <c r="I497" s="155" t="s">
        <v>994</v>
      </c>
      <c r="J497" s="212"/>
      <c r="K497" s="212"/>
      <c r="L497" s="212"/>
      <c r="M497" s="213"/>
      <c r="N497" s="213"/>
      <c r="O497" s="213"/>
      <c r="P497" s="212"/>
      <c r="Q497" s="106" t="b">
        <f t="shared" si="32"/>
        <v>0</v>
      </c>
      <c r="R497" s="199">
        <f t="shared" si="31"/>
        <v>0</v>
      </c>
    </row>
    <row r="498" spans="1:18" x14ac:dyDescent="0.3">
      <c r="A498" s="124">
        <v>18</v>
      </c>
      <c r="B498" s="37" t="s">
        <v>974</v>
      </c>
      <c r="C498" s="38">
        <v>7</v>
      </c>
      <c r="D498" s="125" t="s">
        <v>968</v>
      </c>
      <c r="E498" s="123" t="s">
        <v>981</v>
      </c>
      <c r="F498" s="131"/>
      <c r="G498" s="128" t="s">
        <v>53</v>
      </c>
      <c r="H498" s="154" t="s">
        <v>348</v>
      </c>
      <c r="I498" s="155" t="s">
        <v>996</v>
      </c>
      <c r="J498" s="212"/>
      <c r="K498" s="212"/>
      <c r="L498" s="212"/>
      <c r="M498" s="213"/>
      <c r="N498" s="213"/>
      <c r="O498" s="213"/>
      <c r="P498" s="212"/>
      <c r="Q498" s="106" t="b">
        <f t="shared" si="32"/>
        <v>0</v>
      </c>
      <c r="R498" s="199">
        <f t="shared" si="31"/>
        <v>0</v>
      </c>
    </row>
    <row r="499" spans="1:18" x14ac:dyDescent="0.3">
      <c r="A499" s="124">
        <v>18</v>
      </c>
      <c r="B499" s="37" t="s">
        <v>974</v>
      </c>
      <c r="C499" s="38">
        <v>8</v>
      </c>
      <c r="D499" s="125" t="s">
        <v>77</v>
      </c>
      <c r="E499" s="123" t="s">
        <v>982</v>
      </c>
      <c r="F499" s="126" t="s">
        <v>52</v>
      </c>
      <c r="G499" s="131"/>
      <c r="H499" s="122" t="s">
        <v>350</v>
      </c>
      <c r="I499" s="123" t="s">
        <v>993</v>
      </c>
      <c r="J499" s="212" t="s">
        <v>1383</v>
      </c>
      <c r="K499" s="212"/>
      <c r="L499" s="212"/>
      <c r="M499" s="213"/>
      <c r="N499" s="213"/>
      <c r="O499" s="213"/>
      <c r="P499" s="212"/>
      <c r="Q499" s="106" t="b">
        <f t="shared" si="32"/>
        <v>1</v>
      </c>
      <c r="R499" s="199">
        <f t="shared" si="31"/>
        <v>1</v>
      </c>
    </row>
    <row r="500" spans="1:18" x14ac:dyDescent="0.3">
      <c r="A500" s="124">
        <v>18</v>
      </c>
      <c r="B500" s="37" t="s">
        <v>974</v>
      </c>
      <c r="C500" s="38">
        <v>9</v>
      </c>
      <c r="D500" s="125" t="s">
        <v>969</v>
      </c>
      <c r="E500" s="123" t="s">
        <v>983</v>
      </c>
      <c r="F500" s="126" t="s">
        <v>52</v>
      </c>
      <c r="G500" s="131"/>
      <c r="H500" s="122" t="s">
        <v>350</v>
      </c>
      <c r="I500" s="123" t="s">
        <v>993</v>
      </c>
      <c r="J500" s="212" t="s">
        <v>1383</v>
      </c>
      <c r="K500" s="212"/>
      <c r="L500" s="212"/>
      <c r="M500" s="213"/>
      <c r="N500" s="213"/>
      <c r="O500" s="213"/>
      <c r="P500" s="212"/>
      <c r="Q500" s="106" t="b">
        <f t="shared" si="32"/>
        <v>1</v>
      </c>
      <c r="R500" s="199">
        <f t="shared" si="31"/>
        <v>1</v>
      </c>
    </row>
    <row r="501" spans="1:18" x14ac:dyDescent="0.3">
      <c r="A501" s="124">
        <v>18</v>
      </c>
      <c r="B501" s="37" t="s">
        <v>974</v>
      </c>
      <c r="C501" s="38">
        <v>10</v>
      </c>
      <c r="D501" s="125" t="s">
        <v>43</v>
      </c>
      <c r="E501" s="123" t="s">
        <v>984</v>
      </c>
      <c r="F501" s="126" t="s">
        <v>52</v>
      </c>
      <c r="G501" s="131"/>
      <c r="H501" s="122" t="s">
        <v>350</v>
      </c>
      <c r="I501" s="123" t="s">
        <v>993</v>
      </c>
      <c r="J501" s="212" t="s">
        <v>1383</v>
      </c>
      <c r="K501" s="212"/>
      <c r="L501" s="212"/>
      <c r="M501" s="213"/>
      <c r="N501" s="212" t="s">
        <v>1383</v>
      </c>
      <c r="O501" s="212"/>
      <c r="P501" s="212" t="s">
        <v>1383</v>
      </c>
      <c r="Q501" s="106" t="b">
        <f t="shared" si="32"/>
        <v>1</v>
      </c>
      <c r="R501" s="199">
        <f t="shared" si="31"/>
        <v>3</v>
      </c>
    </row>
    <row r="502" spans="1:18" x14ac:dyDescent="0.3">
      <c r="A502" s="124">
        <v>18</v>
      </c>
      <c r="B502" s="37" t="s">
        <v>974</v>
      </c>
      <c r="C502" s="38">
        <v>11</v>
      </c>
      <c r="D502" s="125" t="s">
        <v>970</v>
      </c>
      <c r="E502" s="123" t="s">
        <v>985</v>
      </c>
      <c r="F502" s="131"/>
      <c r="G502" s="128" t="s">
        <v>53</v>
      </c>
      <c r="H502" s="122" t="s">
        <v>348</v>
      </c>
      <c r="I502" s="123" t="s">
        <v>996</v>
      </c>
      <c r="J502" s="212"/>
      <c r="K502" s="212"/>
      <c r="L502" s="212"/>
      <c r="M502" s="213"/>
      <c r="N502" s="213"/>
      <c r="O502" s="213"/>
      <c r="P502" s="212"/>
      <c r="Q502" s="106" t="b">
        <f t="shared" si="32"/>
        <v>0</v>
      </c>
      <c r="R502" s="199">
        <f t="shared" si="31"/>
        <v>0</v>
      </c>
    </row>
    <row r="503" spans="1:18" x14ac:dyDescent="0.3">
      <c r="A503" s="124">
        <v>18</v>
      </c>
      <c r="B503" s="37" t="s">
        <v>974</v>
      </c>
      <c r="C503" s="38">
        <v>12</v>
      </c>
      <c r="D503" s="166" t="s">
        <v>84</v>
      </c>
      <c r="E503" s="123" t="s">
        <v>986</v>
      </c>
      <c r="F503" s="126" t="s">
        <v>52</v>
      </c>
      <c r="G503" s="131"/>
      <c r="H503" s="122" t="s">
        <v>350</v>
      </c>
      <c r="I503" s="123" t="s">
        <v>993</v>
      </c>
      <c r="J503" s="212"/>
      <c r="K503" s="212"/>
      <c r="L503" s="212"/>
      <c r="M503" s="213"/>
      <c r="N503" s="213"/>
      <c r="O503" s="213"/>
      <c r="P503" s="212"/>
      <c r="Q503" s="106" t="b">
        <f t="shared" si="32"/>
        <v>0</v>
      </c>
      <c r="R503" s="199">
        <f t="shared" si="31"/>
        <v>0</v>
      </c>
    </row>
    <row r="504" spans="1:18" x14ac:dyDescent="0.3">
      <c r="A504" s="124">
        <v>18</v>
      </c>
      <c r="B504" s="37" t="s">
        <v>974</v>
      </c>
      <c r="C504" s="38">
        <v>13</v>
      </c>
      <c r="D504" s="125" t="s">
        <v>971</v>
      </c>
      <c r="E504" s="123" t="s">
        <v>987</v>
      </c>
      <c r="F504" s="126" t="s">
        <v>52</v>
      </c>
      <c r="G504" s="131"/>
      <c r="H504" s="122" t="s">
        <v>346</v>
      </c>
      <c r="I504" s="123" t="s">
        <v>997</v>
      </c>
      <c r="J504" s="212"/>
      <c r="K504" s="212"/>
      <c r="L504" s="212"/>
      <c r="M504" s="213"/>
      <c r="N504" s="213"/>
      <c r="O504" s="213"/>
      <c r="P504" s="212"/>
      <c r="Q504" s="106" t="b">
        <f t="shared" si="32"/>
        <v>0</v>
      </c>
      <c r="R504" s="199">
        <f t="shared" si="31"/>
        <v>0</v>
      </c>
    </row>
    <row r="505" spans="1:18" x14ac:dyDescent="0.3">
      <c r="A505" s="124">
        <v>18</v>
      </c>
      <c r="B505" s="37" t="s">
        <v>974</v>
      </c>
      <c r="C505" s="38">
        <v>14</v>
      </c>
      <c r="D505" s="125" t="s">
        <v>972</v>
      </c>
      <c r="E505" s="123" t="s">
        <v>988</v>
      </c>
      <c r="F505" s="126" t="s">
        <v>52</v>
      </c>
      <c r="G505" s="131"/>
      <c r="H505" s="122" t="s">
        <v>343</v>
      </c>
      <c r="I505" s="123" t="s">
        <v>342</v>
      </c>
      <c r="J505" s="212" t="s">
        <v>1383</v>
      </c>
      <c r="K505" s="212" t="s">
        <v>1383</v>
      </c>
      <c r="L505" s="212"/>
      <c r="M505" s="213"/>
      <c r="N505" s="213"/>
      <c r="O505" s="213"/>
      <c r="P505" s="212"/>
      <c r="Q505" s="106" t="b">
        <f t="shared" si="32"/>
        <v>1</v>
      </c>
      <c r="R505" s="199">
        <f t="shared" si="31"/>
        <v>2</v>
      </c>
    </row>
    <row r="506" spans="1:18" ht="19.5" thickBot="1" x14ac:dyDescent="0.35">
      <c r="A506" s="132">
        <v>18</v>
      </c>
      <c r="B506" s="39" t="s">
        <v>974</v>
      </c>
      <c r="C506" s="45">
        <v>15</v>
      </c>
      <c r="D506" s="133" t="s">
        <v>973</v>
      </c>
      <c r="E506" s="159" t="s">
        <v>989</v>
      </c>
      <c r="F506" s="174"/>
      <c r="G506" s="135" t="s">
        <v>53</v>
      </c>
      <c r="H506" s="158" t="s">
        <v>348</v>
      </c>
      <c r="I506" s="159" t="s">
        <v>998</v>
      </c>
      <c r="J506" s="221"/>
      <c r="K506" s="221"/>
      <c r="L506" s="221"/>
      <c r="M506" s="222"/>
      <c r="N506" s="222"/>
      <c r="O506" s="222"/>
      <c r="P506" s="221"/>
      <c r="Q506" s="244" t="b">
        <f t="shared" si="32"/>
        <v>0</v>
      </c>
      <c r="R506" s="202">
        <f t="shared" si="31"/>
        <v>0</v>
      </c>
    </row>
    <row r="507" spans="1:18" ht="19.5" hidden="1" thickBot="1" x14ac:dyDescent="0.3">
      <c r="A507" s="137">
        <f>A506</f>
        <v>18</v>
      </c>
      <c r="B507" s="138" t="str">
        <f>B506</f>
        <v>PITOGO</v>
      </c>
      <c r="C507" s="15">
        <f>COUNTA(C492:C506)</f>
        <v>15</v>
      </c>
      <c r="D507" s="139" t="s">
        <v>1</v>
      </c>
      <c r="E507" s="139" t="s">
        <v>1374</v>
      </c>
      <c r="F507" s="15">
        <f>COUNTA(F492:F506)</f>
        <v>10</v>
      </c>
      <c r="G507" s="15">
        <f>COUNTA(G492:G506)</f>
        <v>5</v>
      </c>
      <c r="H507" s="291" t="s">
        <v>3</v>
      </c>
      <c r="I507" s="292"/>
      <c r="J507" s="15">
        <f t="shared" ref="J507:Q507" si="34">COUNTA(J492:J506)</f>
        <v>8</v>
      </c>
      <c r="K507" s="15">
        <f t="shared" si="34"/>
        <v>2</v>
      </c>
      <c r="L507" s="15">
        <f t="shared" si="34"/>
        <v>0</v>
      </c>
      <c r="M507" s="15">
        <f t="shared" si="34"/>
        <v>0</v>
      </c>
      <c r="N507" s="15">
        <f t="shared" si="34"/>
        <v>2</v>
      </c>
      <c r="O507" s="15">
        <f t="shared" si="34"/>
        <v>0</v>
      </c>
      <c r="P507" s="15">
        <f t="shared" si="34"/>
        <v>1</v>
      </c>
      <c r="Q507" s="22">
        <f t="shared" si="34"/>
        <v>15</v>
      </c>
      <c r="R507" s="249">
        <f>SUM(J507:P507)</f>
        <v>13</v>
      </c>
    </row>
    <row r="508" spans="1:18" x14ac:dyDescent="0.3">
      <c r="A508" s="119">
        <v>19</v>
      </c>
      <c r="B508" s="41" t="s">
        <v>1022</v>
      </c>
      <c r="C508" s="44">
        <v>1</v>
      </c>
      <c r="D508" s="150" t="s">
        <v>999</v>
      </c>
      <c r="E508" s="153" t="s">
        <v>1023</v>
      </c>
      <c r="F508" s="151" t="s">
        <v>52</v>
      </c>
      <c r="G508" s="169"/>
      <c r="H508" s="152" t="s">
        <v>170</v>
      </c>
      <c r="I508" s="153" t="s">
        <v>265</v>
      </c>
      <c r="J508" s="218"/>
      <c r="K508" s="218"/>
      <c r="L508" s="218"/>
      <c r="M508" s="219"/>
      <c r="N508" s="219"/>
      <c r="O508" s="219"/>
      <c r="P508" s="218"/>
      <c r="Q508" s="243" t="b">
        <f t="shared" si="32"/>
        <v>0</v>
      </c>
      <c r="R508" s="208">
        <f t="shared" si="31"/>
        <v>0</v>
      </c>
    </row>
    <row r="509" spans="1:18" x14ac:dyDescent="0.3">
      <c r="A509" s="124">
        <v>19</v>
      </c>
      <c r="B509" s="37" t="s">
        <v>1022</v>
      </c>
      <c r="C509" s="50">
        <v>2</v>
      </c>
      <c r="D509" s="125" t="s">
        <v>1000</v>
      </c>
      <c r="E509" s="185" t="s">
        <v>1024</v>
      </c>
      <c r="F509" s="126" t="s">
        <v>52</v>
      </c>
      <c r="G509" s="131"/>
      <c r="H509" s="122" t="s">
        <v>262</v>
      </c>
      <c r="I509" s="123" t="s">
        <v>580</v>
      </c>
      <c r="J509" s="212" t="s">
        <v>1383</v>
      </c>
      <c r="K509" s="212"/>
      <c r="L509" s="212"/>
      <c r="M509" s="213"/>
      <c r="N509" s="213"/>
      <c r="O509" s="213"/>
      <c r="P509" s="212"/>
      <c r="Q509" s="106" t="b">
        <f t="shared" si="32"/>
        <v>1</v>
      </c>
      <c r="R509" s="199">
        <f t="shared" si="31"/>
        <v>1</v>
      </c>
    </row>
    <row r="510" spans="1:18" x14ac:dyDescent="0.3">
      <c r="A510" s="124">
        <v>19</v>
      </c>
      <c r="B510" s="37" t="s">
        <v>1022</v>
      </c>
      <c r="C510" s="50">
        <v>3</v>
      </c>
      <c r="D510" s="125" t="s">
        <v>1001</v>
      </c>
      <c r="E510" s="185" t="s">
        <v>1025</v>
      </c>
      <c r="F510" s="126" t="s">
        <v>52</v>
      </c>
      <c r="G510" s="131"/>
      <c r="H510" s="122" t="s">
        <v>262</v>
      </c>
      <c r="I510" s="123" t="s">
        <v>580</v>
      </c>
      <c r="J510" s="212"/>
      <c r="K510" s="212" t="s">
        <v>1383</v>
      </c>
      <c r="L510" s="212"/>
      <c r="M510" s="213"/>
      <c r="N510" s="213"/>
      <c r="O510" s="213"/>
      <c r="P510" s="212"/>
      <c r="Q510" s="106" t="b">
        <f t="shared" si="32"/>
        <v>1</v>
      </c>
      <c r="R510" s="199">
        <f t="shared" si="31"/>
        <v>1</v>
      </c>
    </row>
    <row r="511" spans="1:18" x14ac:dyDescent="0.3">
      <c r="A511" s="124">
        <v>19</v>
      </c>
      <c r="B511" s="37" t="s">
        <v>1022</v>
      </c>
      <c r="C511" s="50">
        <v>4</v>
      </c>
      <c r="D511" s="125" t="s">
        <v>1002</v>
      </c>
      <c r="E511" s="185" t="s">
        <v>1026</v>
      </c>
      <c r="F511" s="126" t="s">
        <v>52</v>
      </c>
      <c r="G511" s="131"/>
      <c r="H511" s="122" t="s">
        <v>262</v>
      </c>
      <c r="I511" s="123" t="s">
        <v>580</v>
      </c>
      <c r="J511" s="212" t="s">
        <v>1383</v>
      </c>
      <c r="K511" s="212" t="s">
        <v>1383</v>
      </c>
      <c r="L511" s="212"/>
      <c r="M511" s="213"/>
      <c r="N511" s="213"/>
      <c r="O511" s="213"/>
      <c r="P511" s="212"/>
      <c r="Q511" s="106" t="b">
        <f t="shared" si="32"/>
        <v>1</v>
      </c>
      <c r="R511" s="199">
        <f t="shared" si="31"/>
        <v>2</v>
      </c>
    </row>
    <row r="512" spans="1:18" x14ac:dyDescent="0.3">
      <c r="A512" s="124">
        <v>19</v>
      </c>
      <c r="B512" s="37" t="s">
        <v>1022</v>
      </c>
      <c r="C512" s="50">
        <v>5</v>
      </c>
      <c r="D512" s="125" t="s">
        <v>1003</v>
      </c>
      <c r="E512" s="185" t="s">
        <v>1027</v>
      </c>
      <c r="F512" s="126" t="s">
        <v>52</v>
      </c>
      <c r="G512" s="131"/>
      <c r="H512" s="122" t="s">
        <v>314</v>
      </c>
      <c r="I512" s="123" t="s">
        <v>1050</v>
      </c>
      <c r="J512" s="212" t="s">
        <v>1383</v>
      </c>
      <c r="K512" s="212"/>
      <c r="L512" s="212"/>
      <c r="M512" s="213"/>
      <c r="N512" s="213"/>
      <c r="O512" s="213"/>
      <c r="P512" s="212"/>
      <c r="Q512" s="106" t="b">
        <f t="shared" si="32"/>
        <v>1</v>
      </c>
      <c r="R512" s="199">
        <f t="shared" si="31"/>
        <v>1</v>
      </c>
    </row>
    <row r="513" spans="1:18" x14ac:dyDescent="0.3">
      <c r="A513" s="124">
        <v>19</v>
      </c>
      <c r="B513" s="37" t="s">
        <v>1022</v>
      </c>
      <c r="C513" s="50">
        <v>6</v>
      </c>
      <c r="D513" s="125" t="s">
        <v>1004</v>
      </c>
      <c r="E513" s="185" t="s">
        <v>1028</v>
      </c>
      <c r="F513" s="126" t="s">
        <v>52</v>
      </c>
      <c r="G513" s="131"/>
      <c r="H513" s="122" t="s">
        <v>314</v>
      </c>
      <c r="I513" s="123" t="s">
        <v>1050</v>
      </c>
      <c r="J513" s="212" t="s">
        <v>1383</v>
      </c>
      <c r="K513" s="212"/>
      <c r="L513" s="212"/>
      <c r="M513" s="213"/>
      <c r="N513" s="213"/>
      <c r="O513" s="213"/>
      <c r="P513" s="212"/>
      <c r="Q513" s="106" t="b">
        <f t="shared" si="32"/>
        <v>1</v>
      </c>
      <c r="R513" s="199">
        <f t="shared" si="31"/>
        <v>1</v>
      </c>
    </row>
    <row r="514" spans="1:18" x14ac:dyDescent="0.3">
      <c r="A514" s="124">
        <v>19</v>
      </c>
      <c r="B514" s="37" t="s">
        <v>1022</v>
      </c>
      <c r="C514" s="50">
        <v>7</v>
      </c>
      <c r="D514" s="125" t="s">
        <v>1005</v>
      </c>
      <c r="E514" s="185" t="s">
        <v>1029</v>
      </c>
      <c r="F514" s="126"/>
      <c r="G514" s="128" t="s">
        <v>53</v>
      </c>
      <c r="H514" s="154" t="s">
        <v>267</v>
      </c>
      <c r="I514" s="155" t="s">
        <v>268</v>
      </c>
      <c r="J514" s="212"/>
      <c r="K514" s="212"/>
      <c r="L514" s="212"/>
      <c r="M514" s="213"/>
      <c r="N514" s="213"/>
      <c r="O514" s="213"/>
      <c r="P514" s="212"/>
      <c r="Q514" s="106" t="b">
        <f t="shared" si="32"/>
        <v>0</v>
      </c>
      <c r="R514" s="199">
        <f t="shared" si="31"/>
        <v>0</v>
      </c>
    </row>
    <row r="515" spans="1:18" x14ac:dyDescent="0.3">
      <c r="A515" s="124">
        <v>19</v>
      </c>
      <c r="B515" s="37" t="s">
        <v>1022</v>
      </c>
      <c r="C515" s="50">
        <v>8</v>
      </c>
      <c r="D515" s="125" t="s">
        <v>1006</v>
      </c>
      <c r="E515" s="185" t="s">
        <v>1030</v>
      </c>
      <c r="F515" s="126" t="s">
        <v>52</v>
      </c>
      <c r="G515" s="131"/>
      <c r="H515" s="122" t="s">
        <v>262</v>
      </c>
      <c r="I515" s="123" t="s">
        <v>580</v>
      </c>
      <c r="J515" s="212" t="s">
        <v>1383</v>
      </c>
      <c r="K515" s="212" t="s">
        <v>1383</v>
      </c>
      <c r="L515" s="212"/>
      <c r="M515" s="213"/>
      <c r="N515" s="213"/>
      <c r="O515" s="213"/>
      <c r="P515" s="212"/>
      <c r="Q515" s="106" t="b">
        <f t="shared" si="32"/>
        <v>1</v>
      </c>
      <c r="R515" s="199">
        <f t="shared" si="31"/>
        <v>2</v>
      </c>
    </row>
    <row r="516" spans="1:18" x14ac:dyDescent="0.3">
      <c r="A516" s="124">
        <v>19</v>
      </c>
      <c r="B516" s="37" t="s">
        <v>1022</v>
      </c>
      <c r="C516" s="50">
        <v>9</v>
      </c>
      <c r="D516" s="125" t="s">
        <v>1007</v>
      </c>
      <c r="E516" s="185" t="s">
        <v>1032</v>
      </c>
      <c r="F516" s="126" t="s">
        <v>52</v>
      </c>
      <c r="G516" s="131"/>
      <c r="H516" s="122" t="s">
        <v>262</v>
      </c>
      <c r="I516" s="123" t="s">
        <v>580</v>
      </c>
      <c r="J516" s="212" t="s">
        <v>1383</v>
      </c>
      <c r="K516" s="212" t="s">
        <v>1383</v>
      </c>
      <c r="L516" s="212"/>
      <c r="M516" s="213"/>
      <c r="N516" s="213"/>
      <c r="O516" s="213"/>
      <c r="P516" s="212"/>
      <c r="Q516" s="106" t="b">
        <f t="shared" si="32"/>
        <v>1</v>
      </c>
      <c r="R516" s="199">
        <f t="shared" ref="R516:R579" si="35">COUNTA(J516:P516)</f>
        <v>2</v>
      </c>
    </row>
    <row r="517" spans="1:18" x14ac:dyDescent="0.3">
      <c r="A517" s="124">
        <v>19</v>
      </c>
      <c r="B517" s="37" t="s">
        <v>1022</v>
      </c>
      <c r="C517" s="50">
        <v>10</v>
      </c>
      <c r="D517" s="125" t="s">
        <v>1008</v>
      </c>
      <c r="E517" s="185" t="s">
        <v>1031</v>
      </c>
      <c r="F517" s="126" t="s">
        <v>52</v>
      </c>
      <c r="G517" s="131"/>
      <c r="H517" s="122" t="s">
        <v>267</v>
      </c>
      <c r="I517" s="123" t="s">
        <v>268</v>
      </c>
      <c r="J517" s="212" t="s">
        <v>1383</v>
      </c>
      <c r="K517" s="212"/>
      <c r="L517" s="212"/>
      <c r="M517" s="213"/>
      <c r="N517" s="213"/>
      <c r="O517" s="213"/>
      <c r="P517" s="212"/>
      <c r="Q517" s="106" t="b">
        <f t="shared" si="32"/>
        <v>1</v>
      </c>
      <c r="R517" s="199">
        <f t="shared" si="35"/>
        <v>1</v>
      </c>
    </row>
    <row r="518" spans="1:18" x14ac:dyDescent="0.3">
      <c r="A518" s="124">
        <v>19</v>
      </c>
      <c r="B518" s="37" t="s">
        <v>1022</v>
      </c>
      <c r="C518" s="50">
        <v>11</v>
      </c>
      <c r="D518" s="125" t="s">
        <v>1009</v>
      </c>
      <c r="E518" s="185" t="s">
        <v>1033</v>
      </c>
      <c r="F518" s="126" t="s">
        <v>52</v>
      </c>
      <c r="G518" s="131"/>
      <c r="H518" s="122" t="s">
        <v>262</v>
      </c>
      <c r="I518" s="123" t="s">
        <v>580</v>
      </c>
      <c r="J518" s="212" t="s">
        <v>1383</v>
      </c>
      <c r="K518" s="212"/>
      <c r="L518" s="212"/>
      <c r="M518" s="213"/>
      <c r="N518" s="213"/>
      <c r="O518" s="213"/>
      <c r="P518" s="212"/>
      <c r="Q518" s="106" t="b">
        <f t="shared" ref="Q518:Q581" si="36">IF(COUNTA(J518:P518)=0,FALSE,TRUE)</f>
        <v>1</v>
      </c>
      <c r="R518" s="199">
        <f t="shared" si="35"/>
        <v>1</v>
      </c>
    </row>
    <row r="519" spans="1:18" x14ac:dyDescent="0.3">
      <c r="A519" s="124">
        <v>19</v>
      </c>
      <c r="B519" s="37" t="s">
        <v>1022</v>
      </c>
      <c r="C519" s="50">
        <v>12</v>
      </c>
      <c r="D519" s="125" t="s">
        <v>426</v>
      </c>
      <c r="E519" s="185" t="s">
        <v>1034</v>
      </c>
      <c r="F519" s="126" t="s">
        <v>52</v>
      </c>
      <c r="G519" s="131"/>
      <c r="H519" s="122" t="s">
        <v>267</v>
      </c>
      <c r="I519" s="123" t="s">
        <v>268</v>
      </c>
      <c r="J519" s="212"/>
      <c r="K519" s="212"/>
      <c r="L519" s="212"/>
      <c r="M519" s="213"/>
      <c r="N519" s="213"/>
      <c r="O519" s="213"/>
      <c r="P519" s="212"/>
      <c r="Q519" s="106" t="b">
        <f t="shared" si="36"/>
        <v>0</v>
      </c>
      <c r="R519" s="199">
        <f t="shared" si="35"/>
        <v>0</v>
      </c>
    </row>
    <row r="520" spans="1:18" x14ac:dyDescent="0.3">
      <c r="A520" s="124">
        <v>19</v>
      </c>
      <c r="B520" s="37" t="s">
        <v>1022</v>
      </c>
      <c r="C520" s="50">
        <v>13</v>
      </c>
      <c r="D520" s="125" t="s">
        <v>31</v>
      </c>
      <c r="E520" s="185" t="s">
        <v>1035</v>
      </c>
      <c r="F520" s="126" t="s">
        <v>52</v>
      </c>
      <c r="G520" s="131"/>
      <c r="H520" s="122" t="s">
        <v>267</v>
      </c>
      <c r="I520" s="123" t="s">
        <v>268</v>
      </c>
      <c r="J520" s="212"/>
      <c r="K520" s="212"/>
      <c r="L520" s="212"/>
      <c r="M520" s="213"/>
      <c r="N520" s="213"/>
      <c r="O520" s="213"/>
      <c r="P520" s="212"/>
      <c r="Q520" s="106" t="b">
        <f t="shared" si="36"/>
        <v>0</v>
      </c>
      <c r="R520" s="199">
        <f t="shared" si="35"/>
        <v>0</v>
      </c>
    </row>
    <row r="521" spans="1:18" x14ac:dyDescent="0.3">
      <c r="A521" s="124">
        <v>19</v>
      </c>
      <c r="B521" s="37" t="s">
        <v>1022</v>
      </c>
      <c r="C521" s="50">
        <v>14</v>
      </c>
      <c r="D521" s="125" t="s">
        <v>1010</v>
      </c>
      <c r="E521" s="185" t="s">
        <v>1036</v>
      </c>
      <c r="F521" s="126" t="s">
        <v>52</v>
      </c>
      <c r="G521" s="131"/>
      <c r="H521" s="122" t="s">
        <v>262</v>
      </c>
      <c r="I521" s="123" t="s">
        <v>580</v>
      </c>
      <c r="J521" s="212" t="s">
        <v>1383</v>
      </c>
      <c r="K521" s="212" t="s">
        <v>1383</v>
      </c>
      <c r="L521" s="212"/>
      <c r="M521" s="213"/>
      <c r="N521" s="213"/>
      <c r="O521" s="213"/>
      <c r="P521" s="212"/>
      <c r="Q521" s="106" t="b">
        <f t="shared" si="36"/>
        <v>1</v>
      </c>
      <c r="R521" s="199">
        <f t="shared" si="35"/>
        <v>2</v>
      </c>
    </row>
    <row r="522" spans="1:18" x14ac:dyDescent="0.3">
      <c r="A522" s="124">
        <v>19</v>
      </c>
      <c r="B522" s="37" t="s">
        <v>1022</v>
      </c>
      <c r="C522" s="50">
        <v>15</v>
      </c>
      <c r="D522" s="125" t="s">
        <v>1011</v>
      </c>
      <c r="E522" s="185" t="s">
        <v>1037</v>
      </c>
      <c r="F522" s="126" t="s">
        <v>52</v>
      </c>
      <c r="G522" s="128"/>
      <c r="H522" s="122" t="s">
        <v>170</v>
      </c>
      <c r="I522" s="123" t="s">
        <v>265</v>
      </c>
      <c r="J522" s="212"/>
      <c r="K522" s="212"/>
      <c r="L522" s="212"/>
      <c r="M522" s="213"/>
      <c r="N522" s="213"/>
      <c r="O522" s="213"/>
      <c r="P522" s="212"/>
      <c r="Q522" s="106" t="b">
        <f t="shared" si="36"/>
        <v>0</v>
      </c>
      <c r="R522" s="199">
        <f t="shared" si="35"/>
        <v>0</v>
      </c>
    </row>
    <row r="523" spans="1:18" x14ac:dyDescent="0.3">
      <c r="A523" s="124">
        <v>19</v>
      </c>
      <c r="B523" s="37" t="s">
        <v>1022</v>
      </c>
      <c r="C523" s="50">
        <v>16</v>
      </c>
      <c r="D523" s="125" t="s">
        <v>1012</v>
      </c>
      <c r="E523" s="185" t="s">
        <v>1038</v>
      </c>
      <c r="F523" s="126" t="s">
        <v>52</v>
      </c>
      <c r="G523" s="128"/>
      <c r="H523" s="122" t="s">
        <v>170</v>
      </c>
      <c r="I523" s="123" t="s">
        <v>265</v>
      </c>
      <c r="J523" s="212"/>
      <c r="K523" s="212"/>
      <c r="L523" s="212"/>
      <c r="M523" s="213"/>
      <c r="N523" s="213"/>
      <c r="O523" s="213"/>
      <c r="P523" s="212"/>
      <c r="Q523" s="106" t="b">
        <f t="shared" si="36"/>
        <v>0</v>
      </c>
      <c r="R523" s="199">
        <f t="shared" si="35"/>
        <v>0</v>
      </c>
    </row>
    <row r="524" spans="1:18" x14ac:dyDescent="0.3">
      <c r="A524" s="124">
        <v>19</v>
      </c>
      <c r="B524" s="37" t="s">
        <v>1022</v>
      </c>
      <c r="C524" s="50">
        <v>17</v>
      </c>
      <c r="D524" s="125" t="s">
        <v>1013</v>
      </c>
      <c r="E524" s="185" t="s">
        <v>1039</v>
      </c>
      <c r="F524" s="131"/>
      <c r="G524" s="128" t="s">
        <v>53</v>
      </c>
      <c r="H524" s="154" t="s">
        <v>267</v>
      </c>
      <c r="I524" s="155" t="s">
        <v>268</v>
      </c>
      <c r="J524" s="212"/>
      <c r="K524" s="212"/>
      <c r="L524" s="212"/>
      <c r="M524" s="213"/>
      <c r="N524" s="213"/>
      <c r="O524" s="213"/>
      <c r="P524" s="212"/>
      <c r="Q524" s="106" t="b">
        <f t="shared" si="36"/>
        <v>0</v>
      </c>
      <c r="R524" s="199">
        <f t="shared" si="35"/>
        <v>0</v>
      </c>
    </row>
    <row r="525" spans="1:18" x14ac:dyDescent="0.3">
      <c r="A525" s="124">
        <v>19</v>
      </c>
      <c r="B525" s="37" t="s">
        <v>1022</v>
      </c>
      <c r="C525" s="50">
        <v>18</v>
      </c>
      <c r="D525" s="125" t="s">
        <v>1014</v>
      </c>
      <c r="E525" s="185" t="s">
        <v>1040</v>
      </c>
      <c r="F525" s="126" t="s">
        <v>52</v>
      </c>
      <c r="G525" s="131"/>
      <c r="H525" s="122" t="s">
        <v>314</v>
      </c>
      <c r="I525" s="123" t="s">
        <v>1050</v>
      </c>
      <c r="J525" s="212" t="s">
        <v>1383</v>
      </c>
      <c r="K525" s="212"/>
      <c r="L525" s="212"/>
      <c r="M525" s="213"/>
      <c r="N525" s="213"/>
      <c r="O525" s="213"/>
      <c r="P525" s="212"/>
      <c r="Q525" s="106" t="b">
        <f t="shared" si="36"/>
        <v>1</v>
      </c>
      <c r="R525" s="199">
        <f t="shared" si="35"/>
        <v>1</v>
      </c>
    </row>
    <row r="526" spans="1:18" x14ac:dyDescent="0.3">
      <c r="A526" s="124">
        <v>19</v>
      </c>
      <c r="B526" s="37" t="s">
        <v>1022</v>
      </c>
      <c r="C526" s="50">
        <v>19</v>
      </c>
      <c r="D526" s="125" t="s">
        <v>1015</v>
      </c>
      <c r="E526" s="185" t="s">
        <v>1041</v>
      </c>
      <c r="F526" s="126" t="s">
        <v>52</v>
      </c>
      <c r="G526" s="131"/>
      <c r="H526" s="122" t="s">
        <v>314</v>
      </c>
      <c r="I526" s="123" t="s">
        <v>1050</v>
      </c>
      <c r="J526" s="212" t="s">
        <v>1383</v>
      </c>
      <c r="K526" s="212"/>
      <c r="L526" s="212"/>
      <c r="M526" s="213"/>
      <c r="N526" s="213"/>
      <c r="O526" s="213"/>
      <c r="P526" s="212"/>
      <c r="Q526" s="106" t="b">
        <f t="shared" si="36"/>
        <v>1</v>
      </c>
      <c r="R526" s="199">
        <f t="shared" si="35"/>
        <v>1</v>
      </c>
    </row>
    <row r="527" spans="1:18" x14ac:dyDescent="0.3">
      <c r="A527" s="124">
        <v>19</v>
      </c>
      <c r="B527" s="37" t="s">
        <v>1022</v>
      </c>
      <c r="C527" s="50">
        <v>20</v>
      </c>
      <c r="D527" s="125" t="s">
        <v>43</v>
      </c>
      <c r="E527" s="185" t="s">
        <v>1042</v>
      </c>
      <c r="F527" s="126" t="s">
        <v>52</v>
      </c>
      <c r="G527" s="131"/>
      <c r="H527" s="122" t="s">
        <v>267</v>
      </c>
      <c r="I527" s="123" t="s">
        <v>268</v>
      </c>
      <c r="J527" s="212" t="s">
        <v>1383</v>
      </c>
      <c r="K527" s="212"/>
      <c r="L527" s="212"/>
      <c r="M527" s="213"/>
      <c r="N527" s="213"/>
      <c r="O527" s="213"/>
      <c r="P527" s="212"/>
      <c r="Q527" s="106" t="b">
        <f t="shared" si="36"/>
        <v>1</v>
      </c>
      <c r="R527" s="199">
        <f t="shared" si="35"/>
        <v>1</v>
      </c>
    </row>
    <row r="528" spans="1:18" x14ac:dyDescent="0.3">
      <c r="A528" s="124">
        <v>19</v>
      </c>
      <c r="B528" s="37" t="s">
        <v>1022</v>
      </c>
      <c r="C528" s="50">
        <v>21</v>
      </c>
      <c r="D528" s="125" t="s">
        <v>1016</v>
      </c>
      <c r="E528" s="185" t="s">
        <v>1043</v>
      </c>
      <c r="F528" s="126" t="s">
        <v>52</v>
      </c>
      <c r="G528" s="131"/>
      <c r="H528" s="122" t="s">
        <v>1051</v>
      </c>
      <c r="I528" s="123" t="s">
        <v>1049</v>
      </c>
      <c r="J528" s="212" t="s">
        <v>1383</v>
      </c>
      <c r="K528" s="212" t="s">
        <v>1383</v>
      </c>
      <c r="L528" s="212"/>
      <c r="M528" s="213"/>
      <c r="N528" s="213"/>
      <c r="O528" s="213"/>
      <c r="P528" s="212"/>
      <c r="Q528" s="106" t="b">
        <f t="shared" si="36"/>
        <v>1</v>
      </c>
      <c r="R528" s="199">
        <f t="shared" si="35"/>
        <v>2</v>
      </c>
    </row>
    <row r="529" spans="1:18" x14ac:dyDescent="0.3">
      <c r="A529" s="124">
        <v>19</v>
      </c>
      <c r="B529" s="37" t="s">
        <v>1022</v>
      </c>
      <c r="C529" s="50">
        <v>22</v>
      </c>
      <c r="D529" s="125" t="s">
        <v>829</v>
      </c>
      <c r="E529" s="185" t="s">
        <v>1044</v>
      </c>
      <c r="F529" s="126" t="s">
        <v>52</v>
      </c>
      <c r="G529" s="131"/>
      <c r="H529" s="122" t="s">
        <v>262</v>
      </c>
      <c r="I529" s="123" t="s">
        <v>580</v>
      </c>
      <c r="J529" s="212" t="s">
        <v>1383</v>
      </c>
      <c r="K529" s="212"/>
      <c r="L529" s="212"/>
      <c r="M529" s="213"/>
      <c r="N529" s="213"/>
      <c r="O529" s="213"/>
      <c r="P529" s="212"/>
      <c r="Q529" s="106" t="b">
        <f t="shared" si="36"/>
        <v>1</v>
      </c>
      <c r="R529" s="199">
        <f t="shared" si="35"/>
        <v>1</v>
      </c>
    </row>
    <row r="530" spans="1:18" x14ac:dyDescent="0.3">
      <c r="A530" s="124">
        <v>19</v>
      </c>
      <c r="B530" s="37" t="s">
        <v>1022</v>
      </c>
      <c r="C530" s="50">
        <v>23</v>
      </c>
      <c r="D530" s="125" t="s">
        <v>1017</v>
      </c>
      <c r="E530" s="185" t="s">
        <v>1045</v>
      </c>
      <c r="F530" s="126" t="s">
        <v>52</v>
      </c>
      <c r="G530" s="131"/>
      <c r="H530" s="122" t="s">
        <v>262</v>
      </c>
      <c r="I530" s="123" t="s">
        <v>580</v>
      </c>
      <c r="J530" s="212" t="s">
        <v>1383</v>
      </c>
      <c r="K530" s="212"/>
      <c r="L530" s="212" t="s">
        <v>1383</v>
      </c>
      <c r="M530" s="213"/>
      <c r="N530" s="213"/>
      <c r="O530" s="213"/>
      <c r="P530" s="212"/>
      <c r="Q530" s="106" t="b">
        <f t="shared" si="36"/>
        <v>1</v>
      </c>
      <c r="R530" s="199">
        <f t="shared" si="35"/>
        <v>2</v>
      </c>
    </row>
    <row r="531" spans="1:18" x14ac:dyDescent="0.3">
      <c r="A531" s="124">
        <v>19</v>
      </c>
      <c r="B531" s="37" t="s">
        <v>1022</v>
      </c>
      <c r="C531" s="50">
        <v>24</v>
      </c>
      <c r="D531" s="125" t="s">
        <v>1018</v>
      </c>
      <c r="E531" s="185" t="s">
        <v>1046</v>
      </c>
      <c r="F531" s="126" t="s">
        <v>52</v>
      </c>
      <c r="G531" s="131"/>
      <c r="H531" s="122" t="s">
        <v>262</v>
      </c>
      <c r="I531" s="123" t="s">
        <v>580</v>
      </c>
      <c r="J531" s="212"/>
      <c r="K531" s="212"/>
      <c r="L531" s="212"/>
      <c r="M531" s="213"/>
      <c r="N531" s="213"/>
      <c r="O531" s="213"/>
      <c r="P531" s="212"/>
      <c r="Q531" s="106" t="b">
        <f t="shared" si="36"/>
        <v>0</v>
      </c>
      <c r="R531" s="199">
        <f t="shared" si="35"/>
        <v>0</v>
      </c>
    </row>
    <row r="532" spans="1:18" x14ac:dyDescent="0.3">
      <c r="A532" s="124">
        <v>19</v>
      </c>
      <c r="B532" s="37" t="s">
        <v>1022</v>
      </c>
      <c r="C532" s="50">
        <v>25</v>
      </c>
      <c r="D532" s="125" t="s">
        <v>1019</v>
      </c>
      <c r="E532" s="185" t="s">
        <v>1047</v>
      </c>
      <c r="F532" s="126" t="s">
        <v>52</v>
      </c>
      <c r="G532" s="131"/>
      <c r="H532" s="122" t="s">
        <v>314</v>
      </c>
      <c r="I532" s="123" t="s">
        <v>1050</v>
      </c>
      <c r="J532" s="212" t="s">
        <v>1383</v>
      </c>
      <c r="K532" s="212"/>
      <c r="L532" s="212"/>
      <c r="M532" s="213"/>
      <c r="N532" s="213"/>
      <c r="O532" s="213"/>
      <c r="P532" s="212"/>
      <c r="Q532" s="106" t="b">
        <f t="shared" si="36"/>
        <v>1</v>
      </c>
      <c r="R532" s="199">
        <f t="shared" si="35"/>
        <v>1</v>
      </c>
    </row>
    <row r="533" spans="1:18" x14ac:dyDescent="0.3">
      <c r="A533" s="124">
        <v>19</v>
      </c>
      <c r="B533" s="37" t="s">
        <v>1022</v>
      </c>
      <c r="C533" s="50">
        <v>26</v>
      </c>
      <c r="D533" s="125" t="s">
        <v>1020</v>
      </c>
      <c r="E533" s="185" t="s">
        <v>1048</v>
      </c>
      <c r="F533" s="126" t="s">
        <v>52</v>
      </c>
      <c r="G533" s="131"/>
      <c r="H533" s="122" t="s">
        <v>262</v>
      </c>
      <c r="I533" s="123" t="s">
        <v>580</v>
      </c>
      <c r="J533" s="212" t="s">
        <v>1383</v>
      </c>
      <c r="K533" s="212" t="s">
        <v>1383</v>
      </c>
      <c r="L533" s="212"/>
      <c r="M533" s="213"/>
      <c r="N533" s="213"/>
      <c r="O533" s="213"/>
      <c r="P533" s="212"/>
      <c r="Q533" s="106" t="b">
        <f t="shared" si="36"/>
        <v>1</v>
      </c>
      <c r="R533" s="199">
        <f t="shared" si="35"/>
        <v>2</v>
      </c>
    </row>
    <row r="534" spans="1:18" ht="19.5" thickBot="1" x14ac:dyDescent="0.35">
      <c r="A534" s="132">
        <v>19</v>
      </c>
      <c r="B534" s="39" t="s">
        <v>1022</v>
      </c>
      <c r="C534" s="51">
        <v>27</v>
      </c>
      <c r="D534" s="133" t="s">
        <v>1021</v>
      </c>
      <c r="E534" s="159" t="s">
        <v>1049</v>
      </c>
      <c r="F534" s="157" t="s">
        <v>52</v>
      </c>
      <c r="G534" s="174"/>
      <c r="H534" s="158" t="s">
        <v>262</v>
      </c>
      <c r="I534" s="159" t="s">
        <v>580</v>
      </c>
      <c r="J534" s="221" t="s">
        <v>1383</v>
      </c>
      <c r="K534" s="221"/>
      <c r="L534" s="221"/>
      <c r="M534" s="222"/>
      <c r="N534" s="222"/>
      <c r="O534" s="222"/>
      <c r="P534" s="221"/>
      <c r="Q534" s="244" t="b">
        <f t="shared" si="36"/>
        <v>1</v>
      </c>
      <c r="R534" s="202">
        <f t="shared" si="35"/>
        <v>1</v>
      </c>
    </row>
    <row r="535" spans="1:18" ht="19.5" hidden="1" thickBot="1" x14ac:dyDescent="0.3">
      <c r="A535" s="137">
        <f>A534</f>
        <v>19</v>
      </c>
      <c r="B535" s="138" t="str">
        <f>B534</f>
        <v>RAMON MAGSAYSAY</v>
      </c>
      <c r="C535" s="15">
        <f>COUNTA(C508:C534)</f>
        <v>27</v>
      </c>
      <c r="D535" s="139" t="s">
        <v>1</v>
      </c>
      <c r="E535" s="139" t="s">
        <v>1374</v>
      </c>
      <c r="F535" s="15">
        <f>COUNTA(F508:F534)</f>
        <v>25</v>
      </c>
      <c r="G535" s="15">
        <f>COUNTA(G508:G534)</f>
        <v>2</v>
      </c>
      <c r="H535" s="291" t="s">
        <v>3</v>
      </c>
      <c r="I535" s="292"/>
      <c r="J535" s="15">
        <f>COUNTA(J508:J534)</f>
        <v>18</v>
      </c>
      <c r="K535" s="15">
        <f t="shared" ref="K535:P535" si="37">COUNTA(K508:K534)</f>
        <v>7</v>
      </c>
      <c r="L535" s="15">
        <f t="shared" si="37"/>
        <v>1</v>
      </c>
      <c r="M535" s="15">
        <f t="shared" si="37"/>
        <v>0</v>
      </c>
      <c r="N535" s="15">
        <f t="shared" si="37"/>
        <v>0</v>
      </c>
      <c r="O535" s="15">
        <f t="shared" si="37"/>
        <v>0</v>
      </c>
      <c r="P535" s="15">
        <f t="shared" si="37"/>
        <v>0</v>
      </c>
      <c r="Q535" s="22">
        <f>COUNTIF(Q508:Q534,TRUE)</f>
        <v>19</v>
      </c>
      <c r="R535" s="249">
        <f>SUM(J535:P535)</f>
        <v>26</v>
      </c>
    </row>
    <row r="536" spans="1:18" x14ac:dyDescent="0.3">
      <c r="A536" s="140">
        <v>20</v>
      </c>
      <c r="B536" s="36" t="s">
        <v>1065</v>
      </c>
      <c r="C536" s="46">
        <v>1</v>
      </c>
      <c r="D536" s="166" t="s">
        <v>1052</v>
      </c>
      <c r="E536" s="144" t="s">
        <v>1066</v>
      </c>
      <c r="F536" s="121" t="s">
        <v>52</v>
      </c>
      <c r="G536" s="165"/>
      <c r="H536" s="142" t="s">
        <v>343</v>
      </c>
      <c r="I536" s="144" t="s">
        <v>342</v>
      </c>
      <c r="J536" s="209" t="s">
        <v>1383</v>
      </c>
      <c r="K536" s="209"/>
      <c r="L536" s="209" t="s">
        <v>1383</v>
      </c>
      <c r="M536" s="210"/>
      <c r="N536" s="210"/>
      <c r="O536" s="210"/>
      <c r="P536" s="209"/>
      <c r="Q536" s="106" t="b">
        <f t="shared" si="36"/>
        <v>1</v>
      </c>
      <c r="R536" s="196">
        <f t="shared" si="35"/>
        <v>2</v>
      </c>
    </row>
    <row r="537" spans="1:18" x14ac:dyDescent="0.3">
      <c r="A537" s="124">
        <v>20</v>
      </c>
      <c r="B537" s="37" t="s">
        <v>1065</v>
      </c>
      <c r="C537" s="38">
        <v>2</v>
      </c>
      <c r="D537" s="125" t="s">
        <v>611</v>
      </c>
      <c r="E537" s="123" t="s">
        <v>1067</v>
      </c>
      <c r="F537" s="131"/>
      <c r="G537" s="128" t="s">
        <v>53</v>
      </c>
      <c r="H537" s="154" t="s">
        <v>1085</v>
      </c>
      <c r="I537" s="155" t="s">
        <v>1084</v>
      </c>
      <c r="J537" s="212"/>
      <c r="K537" s="212"/>
      <c r="L537" s="212"/>
      <c r="M537" s="213"/>
      <c r="N537" s="213"/>
      <c r="O537" s="213"/>
      <c r="P537" s="212"/>
      <c r="Q537" s="106" t="b">
        <f t="shared" si="36"/>
        <v>0</v>
      </c>
      <c r="R537" s="199">
        <f t="shared" si="35"/>
        <v>0</v>
      </c>
    </row>
    <row r="538" spans="1:18" x14ac:dyDescent="0.3">
      <c r="A538" s="124">
        <v>20</v>
      </c>
      <c r="B538" s="37" t="s">
        <v>1065</v>
      </c>
      <c r="C538" s="38">
        <v>3</v>
      </c>
      <c r="D538" s="125" t="s">
        <v>1053</v>
      </c>
      <c r="E538" s="123" t="s">
        <v>1068</v>
      </c>
      <c r="F538" s="126" t="s">
        <v>52</v>
      </c>
      <c r="G538" s="131"/>
      <c r="H538" s="122" t="s">
        <v>344</v>
      </c>
      <c r="I538" s="123" t="s">
        <v>345</v>
      </c>
      <c r="J538" s="212" t="s">
        <v>1383</v>
      </c>
      <c r="K538" s="212"/>
      <c r="L538" s="212"/>
      <c r="M538" s="213"/>
      <c r="N538" s="213"/>
      <c r="O538" s="213"/>
      <c r="P538" s="212"/>
      <c r="Q538" s="106" t="b">
        <f t="shared" si="36"/>
        <v>1</v>
      </c>
      <c r="R538" s="199">
        <f t="shared" si="35"/>
        <v>1</v>
      </c>
    </row>
    <row r="539" spans="1:18" x14ac:dyDescent="0.3">
      <c r="A539" s="124">
        <v>20</v>
      </c>
      <c r="B539" s="37" t="s">
        <v>1065</v>
      </c>
      <c r="C539" s="38">
        <v>4</v>
      </c>
      <c r="D539" s="125" t="s">
        <v>1054</v>
      </c>
      <c r="E539" s="123" t="s">
        <v>1069</v>
      </c>
      <c r="F539" s="126" t="s">
        <v>52</v>
      </c>
      <c r="G539" s="131"/>
      <c r="H539" s="122" t="s">
        <v>343</v>
      </c>
      <c r="I539" s="123" t="s">
        <v>342</v>
      </c>
      <c r="J539" s="212" t="s">
        <v>1383</v>
      </c>
      <c r="K539" s="212"/>
      <c r="L539" s="212"/>
      <c r="M539" s="213"/>
      <c r="N539" s="213"/>
      <c r="O539" s="213"/>
      <c r="P539" s="212"/>
      <c r="Q539" s="106" t="b">
        <f t="shared" si="36"/>
        <v>1</v>
      </c>
      <c r="R539" s="199">
        <f t="shared" si="35"/>
        <v>1</v>
      </c>
    </row>
    <row r="540" spans="1:18" x14ac:dyDescent="0.3">
      <c r="A540" s="124">
        <v>20</v>
      </c>
      <c r="B540" s="37" t="s">
        <v>1065</v>
      </c>
      <c r="C540" s="38">
        <v>5</v>
      </c>
      <c r="D540" s="125" t="s">
        <v>1055</v>
      </c>
      <c r="E540" s="123" t="s">
        <v>1070</v>
      </c>
      <c r="F540" s="126" t="s">
        <v>52</v>
      </c>
      <c r="G540" s="131"/>
      <c r="H540" s="122" t="s">
        <v>343</v>
      </c>
      <c r="I540" s="123" t="s">
        <v>342</v>
      </c>
      <c r="J540" s="212" t="s">
        <v>1383</v>
      </c>
      <c r="K540" s="212"/>
      <c r="L540" s="212"/>
      <c r="M540" s="213"/>
      <c r="N540" s="213"/>
      <c r="O540" s="213"/>
      <c r="P540" s="212"/>
      <c r="Q540" s="106" t="b">
        <f t="shared" si="36"/>
        <v>1</v>
      </c>
      <c r="R540" s="199">
        <f t="shared" si="35"/>
        <v>1</v>
      </c>
    </row>
    <row r="541" spans="1:18" x14ac:dyDescent="0.3">
      <c r="A541" s="124">
        <v>20</v>
      </c>
      <c r="B541" s="37" t="s">
        <v>1065</v>
      </c>
      <c r="C541" s="38">
        <v>6</v>
      </c>
      <c r="D541" s="125" t="s">
        <v>1056</v>
      </c>
      <c r="E541" s="123" t="s">
        <v>1071</v>
      </c>
      <c r="F541" s="131"/>
      <c r="G541" s="128" t="s">
        <v>53</v>
      </c>
      <c r="H541" s="154" t="s">
        <v>1087</v>
      </c>
      <c r="I541" s="155" t="s">
        <v>1086</v>
      </c>
      <c r="J541" s="212"/>
      <c r="K541" s="212"/>
      <c r="L541" s="212"/>
      <c r="M541" s="213"/>
      <c r="N541" s="213"/>
      <c r="O541" s="213"/>
      <c r="P541" s="212"/>
      <c r="Q541" s="106" t="b">
        <f t="shared" si="36"/>
        <v>0</v>
      </c>
      <c r="R541" s="199">
        <f t="shared" si="35"/>
        <v>0</v>
      </c>
    </row>
    <row r="542" spans="1:18" x14ac:dyDescent="0.3">
      <c r="A542" s="124">
        <v>20</v>
      </c>
      <c r="B542" s="37" t="s">
        <v>1065</v>
      </c>
      <c r="C542" s="38">
        <v>7</v>
      </c>
      <c r="D542" s="125" t="s">
        <v>1057</v>
      </c>
      <c r="E542" s="123" t="s">
        <v>1072</v>
      </c>
      <c r="F542" s="126" t="s">
        <v>52</v>
      </c>
      <c r="G542" s="131"/>
      <c r="H542" s="122" t="s">
        <v>343</v>
      </c>
      <c r="I542" s="123" t="s">
        <v>342</v>
      </c>
      <c r="J542" s="212" t="s">
        <v>1383</v>
      </c>
      <c r="K542" s="54" t="s">
        <v>1383</v>
      </c>
      <c r="L542" s="212" t="s">
        <v>1383</v>
      </c>
      <c r="M542" s="213"/>
      <c r="N542" s="213"/>
      <c r="O542" s="213"/>
      <c r="P542" s="212"/>
      <c r="Q542" s="106" t="b">
        <f t="shared" si="36"/>
        <v>1</v>
      </c>
      <c r="R542" s="199">
        <f t="shared" si="35"/>
        <v>3</v>
      </c>
    </row>
    <row r="543" spans="1:18" x14ac:dyDescent="0.3">
      <c r="A543" s="124">
        <v>20</v>
      </c>
      <c r="B543" s="37" t="s">
        <v>1065</v>
      </c>
      <c r="C543" s="38">
        <v>8</v>
      </c>
      <c r="D543" s="125" t="s">
        <v>1058</v>
      </c>
      <c r="E543" s="123" t="s">
        <v>1073</v>
      </c>
      <c r="F543" s="126" t="s">
        <v>52</v>
      </c>
      <c r="G543" s="131"/>
      <c r="H543" s="122" t="s">
        <v>343</v>
      </c>
      <c r="I543" s="123" t="s">
        <v>342</v>
      </c>
      <c r="J543" s="212"/>
      <c r="K543" s="212"/>
      <c r="L543" s="212"/>
      <c r="M543" s="213"/>
      <c r="N543" s="213"/>
      <c r="O543" s="213"/>
      <c r="P543" s="212"/>
      <c r="Q543" s="106" t="b">
        <f t="shared" si="36"/>
        <v>0</v>
      </c>
      <c r="R543" s="199">
        <f t="shared" si="35"/>
        <v>0</v>
      </c>
    </row>
    <row r="544" spans="1:18" x14ac:dyDescent="0.3">
      <c r="A544" s="124">
        <v>20</v>
      </c>
      <c r="B544" s="37" t="s">
        <v>1065</v>
      </c>
      <c r="C544" s="38">
        <v>9</v>
      </c>
      <c r="D544" s="125" t="s">
        <v>493</v>
      </c>
      <c r="E544" s="123" t="s">
        <v>1074</v>
      </c>
      <c r="F544" s="126" t="s">
        <v>52</v>
      </c>
      <c r="G544" s="131"/>
      <c r="H544" s="122" t="s">
        <v>1085</v>
      </c>
      <c r="I544" s="123" t="s">
        <v>1084</v>
      </c>
      <c r="J544" s="212" t="s">
        <v>1383</v>
      </c>
      <c r="K544" s="212" t="s">
        <v>1383</v>
      </c>
      <c r="L544" s="212"/>
      <c r="M544" s="213"/>
      <c r="N544" s="213"/>
      <c r="O544" s="213"/>
      <c r="P544" s="212"/>
      <c r="Q544" s="106" t="b">
        <f t="shared" si="36"/>
        <v>1</v>
      </c>
      <c r="R544" s="199">
        <f t="shared" si="35"/>
        <v>2</v>
      </c>
    </row>
    <row r="545" spans="1:18" x14ac:dyDescent="0.3">
      <c r="A545" s="124">
        <v>20</v>
      </c>
      <c r="B545" s="37" t="s">
        <v>1065</v>
      </c>
      <c r="C545" s="38">
        <v>10</v>
      </c>
      <c r="D545" s="125" t="s">
        <v>1059</v>
      </c>
      <c r="E545" s="123" t="s">
        <v>1075</v>
      </c>
      <c r="F545" s="126" t="s">
        <v>52</v>
      </c>
      <c r="G545" s="131"/>
      <c r="H545" s="122" t="s">
        <v>1085</v>
      </c>
      <c r="I545" s="123" t="s">
        <v>1084</v>
      </c>
      <c r="J545" s="212" t="s">
        <v>1383</v>
      </c>
      <c r="K545" s="212"/>
      <c r="L545" s="212"/>
      <c r="M545" s="213"/>
      <c r="N545" s="213"/>
      <c r="O545" s="213"/>
      <c r="P545" s="212"/>
      <c r="Q545" s="106" t="b">
        <f t="shared" si="36"/>
        <v>1</v>
      </c>
      <c r="R545" s="199">
        <f t="shared" si="35"/>
        <v>1</v>
      </c>
    </row>
    <row r="546" spans="1:18" x14ac:dyDescent="0.3">
      <c r="A546" s="124">
        <v>20</v>
      </c>
      <c r="B546" s="37" t="s">
        <v>1065</v>
      </c>
      <c r="C546" s="38">
        <v>11</v>
      </c>
      <c r="D546" s="125" t="s">
        <v>1060</v>
      </c>
      <c r="E546" s="123" t="s">
        <v>1076</v>
      </c>
      <c r="F546" s="126" t="s">
        <v>52</v>
      </c>
      <c r="G546" s="131"/>
      <c r="H546" s="122" t="s">
        <v>1085</v>
      </c>
      <c r="I546" s="123" t="s">
        <v>1084</v>
      </c>
      <c r="J546" s="212" t="s">
        <v>1383</v>
      </c>
      <c r="K546" s="212" t="s">
        <v>1383</v>
      </c>
      <c r="L546" s="212"/>
      <c r="M546" s="213"/>
      <c r="N546" s="213"/>
      <c r="O546" s="213"/>
      <c r="P546" s="212"/>
      <c r="Q546" s="106" t="b">
        <f t="shared" si="36"/>
        <v>1</v>
      </c>
      <c r="R546" s="199">
        <f t="shared" si="35"/>
        <v>2</v>
      </c>
    </row>
    <row r="547" spans="1:18" x14ac:dyDescent="0.3">
      <c r="A547" s="124">
        <v>20</v>
      </c>
      <c r="B547" s="37" t="s">
        <v>1065</v>
      </c>
      <c r="C547" s="38">
        <v>12</v>
      </c>
      <c r="D547" s="125" t="s">
        <v>1061</v>
      </c>
      <c r="E547" s="123" t="s">
        <v>1077</v>
      </c>
      <c r="F547" s="126" t="s">
        <v>52</v>
      </c>
      <c r="G547" s="131"/>
      <c r="H547" s="122" t="s">
        <v>343</v>
      </c>
      <c r="I547" s="123" t="s">
        <v>342</v>
      </c>
      <c r="J547" s="212" t="s">
        <v>1383</v>
      </c>
      <c r="K547" s="212"/>
      <c r="L547" s="212"/>
      <c r="M547" s="213"/>
      <c r="N547" s="212" t="s">
        <v>1383</v>
      </c>
      <c r="O547" s="212"/>
      <c r="P547" s="212"/>
      <c r="Q547" s="106" t="b">
        <f t="shared" si="36"/>
        <v>1</v>
      </c>
      <c r="R547" s="199">
        <f t="shared" si="35"/>
        <v>2</v>
      </c>
    </row>
    <row r="548" spans="1:18" x14ac:dyDescent="0.3">
      <c r="A548" s="124">
        <v>20</v>
      </c>
      <c r="B548" s="37" t="s">
        <v>1065</v>
      </c>
      <c r="C548" s="38">
        <v>13</v>
      </c>
      <c r="D548" s="125" t="s">
        <v>1062</v>
      </c>
      <c r="E548" s="123" t="s">
        <v>1078</v>
      </c>
      <c r="F548" s="126" t="s">
        <v>52</v>
      </c>
      <c r="G548" s="131"/>
      <c r="H548" s="122" t="s">
        <v>343</v>
      </c>
      <c r="I548" s="123" t="s">
        <v>342</v>
      </c>
      <c r="J548" s="212" t="s">
        <v>1383</v>
      </c>
      <c r="K548" s="212"/>
      <c r="L548" s="212"/>
      <c r="M548" s="213"/>
      <c r="N548" s="213"/>
      <c r="O548" s="213"/>
      <c r="P548" s="212"/>
      <c r="Q548" s="106" t="b">
        <f t="shared" si="36"/>
        <v>1</v>
      </c>
      <c r="R548" s="199">
        <f t="shared" si="35"/>
        <v>1</v>
      </c>
    </row>
    <row r="549" spans="1:18" x14ac:dyDescent="0.3">
      <c r="A549" s="124">
        <v>20</v>
      </c>
      <c r="B549" s="37" t="s">
        <v>1065</v>
      </c>
      <c r="C549" s="38">
        <v>14</v>
      </c>
      <c r="D549" s="125" t="s">
        <v>1063</v>
      </c>
      <c r="E549" s="123" t="s">
        <v>1079</v>
      </c>
      <c r="F549" s="131"/>
      <c r="G549" s="128" t="s">
        <v>53</v>
      </c>
      <c r="H549" s="154" t="s">
        <v>1087</v>
      </c>
      <c r="I549" s="155" t="s">
        <v>1086</v>
      </c>
      <c r="J549" s="212"/>
      <c r="K549" s="212"/>
      <c r="L549" s="212"/>
      <c r="M549" s="213"/>
      <c r="N549" s="213"/>
      <c r="O549" s="213"/>
      <c r="P549" s="212"/>
      <c r="Q549" s="106" t="b">
        <f t="shared" si="36"/>
        <v>0</v>
      </c>
      <c r="R549" s="199">
        <f t="shared" si="35"/>
        <v>0</v>
      </c>
    </row>
    <row r="550" spans="1:18" x14ac:dyDescent="0.3">
      <c r="A550" s="124">
        <v>20</v>
      </c>
      <c r="B550" s="37" t="s">
        <v>1065</v>
      </c>
      <c r="C550" s="38">
        <v>15</v>
      </c>
      <c r="D550" s="125" t="s">
        <v>43</v>
      </c>
      <c r="E550" s="123" t="s">
        <v>1080</v>
      </c>
      <c r="F550" s="126" t="s">
        <v>52</v>
      </c>
      <c r="G550" s="131"/>
      <c r="H550" s="122" t="s">
        <v>1085</v>
      </c>
      <c r="I550" s="123" t="s">
        <v>1084</v>
      </c>
      <c r="J550" s="212"/>
      <c r="K550" s="212" t="s">
        <v>1383</v>
      </c>
      <c r="L550" s="212"/>
      <c r="M550" s="213"/>
      <c r="N550" s="213"/>
      <c r="O550" s="213"/>
      <c r="P550" s="212" t="s">
        <v>1383</v>
      </c>
      <c r="Q550" s="106" t="b">
        <f t="shared" si="36"/>
        <v>1</v>
      </c>
      <c r="R550" s="199">
        <f t="shared" si="35"/>
        <v>2</v>
      </c>
    </row>
    <row r="551" spans="1:18" x14ac:dyDescent="0.3">
      <c r="A551" s="124">
        <v>20</v>
      </c>
      <c r="B551" s="37" t="s">
        <v>1065</v>
      </c>
      <c r="C551" s="38">
        <v>16</v>
      </c>
      <c r="D551" s="125" t="s">
        <v>84</v>
      </c>
      <c r="E551" s="123" t="s">
        <v>1081</v>
      </c>
      <c r="F551" s="126" t="s">
        <v>52</v>
      </c>
      <c r="G551" s="131"/>
      <c r="H551" s="122" t="s">
        <v>1085</v>
      </c>
      <c r="I551" s="123" t="s">
        <v>1084</v>
      </c>
      <c r="J551" s="212" t="s">
        <v>1383</v>
      </c>
      <c r="K551" s="212" t="s">
        <v>1383</v>
      </c>
      <c r="L551" s="212"/>
      <c r="M551" s="213"/>
      <c r="N551" s="213"/>
      <c r="O551" s="213"/>
      <c r="P551" s="212"/>
      <c r="Q551" s="106" t="b">
        <f t="shared" si="36"/>
        <v>1</v>
      </c>
      <c r="R551" s="199">
        <f t="shared" si="35"/>
        <v>2</v>
      </c>
    </row>
    <row r="552" spans="1:18" x14ac:dyDescent="0.3">
      <c r="A552" s="124">
        <v>20</v>
      </c>
      <c r="B552" s="37" t="s">
        <v>1065</v>
      </c>
      <c r="C552" s="38">
        <v>17</v>
      </c>
      <c r="D552" s="125" t="s">
        <v>624</v>
      </c>
      <c r="E552" s="123" t="s">
        <v>1082</v>
      </c>
      <c r="F552" s="131"/>
      <c r="G552" s="128" t="s">
        <v>53</v>
      </c>
      <c r="H552" s="154" t="s">
        <v>1085</v>
      </c>
      <c r="I552" s="155" t="s">
        <v>1084</v>
      </c>
      <c r="J552" s="212"/>
      <c r="K552" s="212"/>
      <c r="L552" s="212"/>
      <c r="M552" s="213"/>
      <c r="N552" s="213"/>
      <c r="O552" s="213"/>
      <c r="P552" s="212"/>
      <c r="Q552" s="106" t="b">
        <f t="shared" si="36"/>
        <v>0</v>
      </c>
      <c r="R552" s="199">
        <f t="shared" si="35"/>
        <v>0</v>
      </c>
    </row>
    <row r="553" spans="1:18" ht="19.5" thickBot="1" x14ac:dyDescent="0.35">
      <c r="A553" s="161">
        <v>20</v>
      </c>
      <c r="B553" s="47" t="s">
        <v>1065</v>
      </c>
      <c r="C553" s="48">
        <v>18</v>
      </c>
      <c r="D553" s="166" t="s">
        <v>1064</v>
      </c>
      <c r="E553" s="148" t="s">
        <v>1083</v>
      </c>
      <c r="F553" s="167"/>
      <c r="G553" s="143" t="s">
        <v>53</v>
      </c>
      <c r="H553" s="225" t="s">
        <v>1085</v>
      </c>
      <c r="I553" s="226" t="s">
        <v>1084</v>
      </c>
      <c r="J553" s="215"/>
      <c r="K553" s="215"/>
      <c r="L553" s="215"/>
      <c r="M553" s="216"/>
      <c r="N553" s="216"/>
      <c r="O553" s="216"/>
      <c r="P553" s="215"/>
      <c r="Q553" s="106" t="b">
        <f t="shared" si="36"/>
        <v>0</v>
      </c>
      <c r="R553" s="205">
        <f t="shared" si="35"/>
        <v>0</v>
      </c>
    </row>
    <row r="554" spans="1:18" ht="19.5" hidden="1" thickBot="1" x14ac:dyDescent="0.3">
      <c r="A554" s="137">
        <f>A553</f>
        <v>20</v>
      </c>
      <c r="B554" s="138" t="str">
        <f>B553</f>
        <v>SAN MIGUEL</v>
      </c>
      <c r="C554" s="15">
        <f>COUNTA(C536:C553)</f>
        <v>18</v>
      </c>
      <c r="D554" s="139" t="s">
        <v>1</v>
      </c>
      <c r="E554" s="139" t="s">
        <v>1374</v>
      </c>
      <c r="F554" s="15">
        <f>COUNTA(F536:F553)</f>
        <v>13</v>
      </c>
      <c r="G554" s="15">
        <f>COUNTA(G536:G553)</f>
        <v>5</v>
      </c>
      <c r="H554" s="291" t="s">
        <v>3</v>
      </c>
      <c r="I554" s="292"/>
      <c r="J554" s="15">
        <f t="shared" ref="J554:P554" si="38">COUNTA(J536:J553)</f>
        <v>11</v>
      </c>
      <c r="K554" s="15">
        <f t="shared" si="38"/>
        <v>5</v>
      </c>
      <c r="L554" s="15">
        <f t="shared" si="38"/>
        <v>2</v>
      </c>
      <c r="M554" s="15">
        <f t="shared" si="38"/>
        <v>0</v>
      </c>
      <c r="N554" s="15">
        <f t="shared" si="38"/>
        <v>1</v>
      </c>
      <c r="O554" s="15">
        <f t="shared" si="38"/>
        <v>0</v>
      </c>
      <c r="P554" s="15">
        <f t="shared" si="38"/>
        <v>1</v>
      </c>
      <c r="Q554" s="22">
        <f>COUNTIF(Q536:Q553,TRUE)</f>
        <v>12</v>
      </c>
      <c r="R554" s="249">
        <f>SUM(J554:P554)</f>
        <v>20</v>
      </c>
    </row>
    <row r="555" spans="1:18" x14ac:dyDescent="0.3">
      <c r="A555" s="119">
        <v>21</v>
      </c>
      <c r="B555" s="41" t="s">
        <v>1111</v>
      </c>
      <c r="C555" s="44">
        <v>1</v>
      </c>
      <c r="D555" s="150" t="s">
        <v>140</v>
      </c>
      <c r="E555" s="153" t="s">
        <v>1112</v>
      </c>
      <c r="F555" s="151" t="s">
        <v>52</v>
      </c>
      <c r="G555" s="168"/>
      <c r="H555" s="152" t="s">
        <v>417</v>
      </c>
      <c r="I555" s="153" t="s">
        <v>1151</v>
      </c>
      <c r="J555" s="218" t="s">
        <v>1383</v>
      </c>
      <c r="K555" s="218"/>
      <c r="L555" s="218"/>
      <c r="M555" s="219"/>
      <c r="N555" s="219"/>
      <c r="O555" s="219"/>
      <c r="P555" s="218"/>
      <c r="Q555" s="243" t="b">
        <f t="shared" si="36"/>
        <v>1</v>
      </c>
      <c r="R555" s="208">
        <f t="shared" si="35"/>
        <v>1</v>
      </c>
    </row>
    <row r="556" spans="1:18" x14ac:dyDescent="0.3">
      <c r="A556" s="124">
        <v>21</v>
      </c>
      <c r="B556" s="37" t="s">
        <v>1111</v>
      </c>
      <c r="C556" s="38">
        <v>2</v>
      </c>
      <c r="D556" s="125" t="s">
        <v>1088</v>
      </c>
      <c r="E556" s="123" t="s">
        <v>1113</v>
      </c>
      <c r="F556" s="131"/>
      <c r="G556" s="128" t="s">
        <v>53</v>
      </c>
      <c r="H556" s="154" t="s">
        <v>344</v>
      </c>
      <c r="I556" s="155" t="s">
        <v>345</v>
      </c>
      <c r="J556" s="212"/>
      <c r="K556" s="212"/>
      <c r="L556" s="212"/>
      <c r="M556" s="213"/>
      <c r="N556" s="213"/>
      <c r="O556" s="213"/>
      <c r="P556" s="212"/>
      <c r="Q556" s="106" t="b">
        <f t="shared" si="36"/>
        <v>0</v>
      </c>
      <c r="R556" s="199">
        <f t="shared" si="35"/>
        <v>0</v>
      </c>
    </row>
    <row r="557" spans="1:18" x14ac:dyDescent="0.3">
      <c r="A557" s="124">
        <v>21</v>
      </c>
      <c r="B557" s="37" t="s">
        <v>1111</v>
      </c>
      <c r="C557" s="38">
        <v>3</v>
      </c>
      <c r="D557" s="125" t="s">
        <v>1089</v>
      </c>
      <c r="E557" s="123" t="s">
        <v>1114</v>
      </c>
      <c r="F557" s="131"/>
      <c r="G557" s="128" t="s">
        <v>53</v>
      </c>
      <c r="H557" s="154" t="s">
        <v>344</v>
      </c>
      <c r="I557" s="155" t="s">
        <v>345</v>
      </c>
      <c r="J557" s="212"/>
      <c r="K557" s="212"/>
      <c r="L557" s="212"/>
      <c r="M557" s="213"/>
      <c r="N557" s="213"/>
      <c r="O557" s="213"/>
      <c r="P557" s="212"/>
      <c r="Q557" s="106" t="b">
        <f t="shared" si="36"/>
        <v>0</v>
      </c>
      <c r="R557" s="199">
        <f t="shared" si="35"/>
        <v>0</v>
      </c>
    </row>
    <row r="558" spans="1:18" x14ac:dyDescent="0.3">
      <c r="A558" s="124">
        <v>21</v>
      </c>
      <c r="B558" s="37" t="s">
        <v>1111</v>
      </c>
      <c r="C558" s="38">
        <v>4</v>
      </c>
      <c r="D558" s="125" t="s">
        <v>1090</v>
      </c>
      <c r="E558" s="123" t="s">
        <v>1115</v>
      </c>
      <c r="F558" s="131"/>
      <c r="G558" s="128" t="s">
        <v>53</v>
      </c>
      <c r="H558" s="154" t="s">
        <v>344</v>
      </c>
      <c r="I558" s="155" t="s">
        <v>345</v>
      </c>
      <c r="J558" s="212"/>
      <c r="K558" s="212"/>
      <c r="L558" s="212"/>
      <c r="M558" s="213"/>
      <c r="N558" s="213"/>
      <c r="O558" s="213"/>
      <c r="P558" s="212"/>
      <c r="Q558" s="106" t="b">
        <f t="shared" si="36"/>
        <v>0</v>
      </c>
      <c r="R558" s="199">
        <f t="shared" si="35"/>
        <v>0</v>
      </c>
    </row>
    <row r="559" spans="1:18" x14ac:dyDescent="0.3">
      <c r="A559" s="124">
        <v>21</v>
      </c>
      <c r="B559" s="37" t="s">
        <v>1111</v>
      </c>
      <c r="C559" s="38">
        <v>5</v>
      </c>
      <c r="D559" s="125" t="s">
        <v>1091</v>
      </c>
      <c r="E559" s="123" t="s">
        <v>1116</v>
      </c>
      <c r="F559" s="126" t="s">
        <v>52</v>
      </c>
      <c r="G559" s="131"/>
      <c r="H559" s="122" t="s">
        <v>343</v>
      </c>
      <c r="I559" s="123" t="s">
        <v>342</v>
      </c>
      <c r="J559" s="212" t="s">
        <v>1383</v>
      </c>
      <c r="K559" s="212"/>
      <c r="L559" s="212"/>
      <c r="M559" s="213"/>
      <c r="N559" s="213"/>
      <c r="O559" s="213"/>
      <c r="P559" s="212"/>
      <c r="Q559" s="106" t="b">
        <f t="shared" si="36"/>
        <v>1</v>
      </c>
      <c r="R559" s="199">
        <f t="shared" si="35"/>
        <v>1</v>
      </c>
    </row>
    <row r="560" spans="1:18" x14ac:dyDescent="0.3">
      <c r="A560" s="124">
        <v>21</v>
      </c>
      <c r="B560" s="37" t="s">
        <v>1111</v>
      </c>
      <c r="C560" s="38">
        <v>6</v>
      </c>
      <c r="D560" s="125" t="s">
        <v>1092</v>
      </c>
      <c r="E560" s="123" t="s">
        <v>1117</v>
      </c>
      <c r="F560" s="131"/>
      <c r="G560" s="128" t="s">
        <v>53</v>
      </c>
      <c r="H560" s="154" t="s">
        <v>344</v>
      </c>
      <c r="I560" s="155" t="s">
        <v>345</v>
      </c>
      <c r="J560" s="212"/>
      <c r="K560" s="212"/>
      <c r="L560" s="212"/>
      <c r="M560" s="213"/>
      <c r="N560" s="213"/>
      <c r="O560" s="213"/>
      <c r="P560" s="212"/>
      <c r="Q560" s="106" t="b">
        <f t="shared" si="36"/>
        <v>0</v>
      </c>
      <c r="R560" s="199">
        <f t="shared" si="35"/>
        <v>0</v>
      </c>
    </row>
    <row r="561" spans="1:18" x14ac:dyDescent="0.3">
      <c r="A561" s="124">
        <v>21</v>
      </c>
      <c r="B561" s="37" t="s">
        <v>1111</v>
      </c>
      <c r="C561" s="38">
        <v>7</v>
      </c>
      <c r="D561" s="125" t="s">
        <v>1093</v>
      </c>
      <c r="E561" s="123" t="s">
        <v>345</v>
      </c>
      <c r="F561" s="126" t="s">
        <v>52</v>
      </c>
      <c r="G561" s="131"/>
      <c r="H561" s="122" t="s">
        <v>415</v>
      </c>
      <c r="I561" s="123" t="s">
        <v>414</v>
      </c>
      <c r="J561" s="212" t="s">
        <v>1383</v>
      </c>
      <c r="K561" s="212"/>
      <c r="L561" s="212"/>
      <c r="M561" s="213"/>
      <c r="N561" s="212" t="s">
        <v>1383</v>
      </c>
      <c r="O561" s="212"/>
      <c r="P561" s="212"/>
      <c r="Q561" s="106" t="b">
        <f t="shared" si="36"/>
        <v>1</v>
      </c>
      <c r="R561" s="199">
        <f t="shared" si="35"/>
        <v>2</v>
      </c>
    </row>
    <row r="562" spans="1:18" x14ac:dyDescent="0.3">
      <c r="A562" s="124">
        <v>21</v>
      </c>
      <c r="B562" s="37" t="s">
        <v>1111</v>
      </c>
      <c r="C562" s="38">
        <v>8</v>
      </c>
      <c r="D562" s="125" t="s">
        <v>1094</v>
      </c>
      <c r="E562" s="123" t="s">
        <v>1118</v>
      </c>
      <c r="F562" s="126" t="s">
        <v>52</v>
      </c>
      <c r="G562" s="131"/>
      <c r="H562" s="122" t="s">
        <v>343</v>
      </c>
      <c r="I562" s="123" t="s">
        <v>342</v>
      </c>
      <c r="J562" s="212" t="s">
        <v>1383</v>
      </c>
      <c r="K562" s="212"/>
      <c r="L562" s="212"/>
      <c r="M562" s="213"/>
      <c r="N562" s="213"/>
      <c r="O562" s="213"/>
      <c r="P562" s="212"/>
      <c r="Q562" s="106" t="b">
        <f t="shared" si="36"/>
        <v>1</v>
      </c>
      <c r="R562" s="199">
        <f t="shared" si="35"/>
        <v>1</v>
      </c>
    </row>
    <row r="563" spans="1:18" x14ac:dyDescent="0.3">
      <c r="A563" s="124">
        <v>21</v>
      </c>
      <c r="B563" s="37" t="s">
        <v>1111</v>
      </c>
      <c r="C563" s="38">
        <v>9</v>
      </c>
      <c r="D563" s="125" t="s">
        <v>1095</v>
      </c>
      <c r="E563" s="123" t="s">
        <v>1119</v>
      </c>
      <c r="F563" s="126" t="s">
        <v>52</v>
      </c>
      <c r="G563" s="131"/>
      <c r="H563" s="122" t="s">
        <v>343</v>
      </c>
      <c r="I563" s="123" t="s">
        <v>342</v>
      </c>
      <c r="J563" s="212" t="s">
        <v>1383</v>
      </c>
      <c r="K563" s="212"/>
      <c r="L563" s="212"/>
      <c r="M563" s="213"/>
      <c r="N563" s="213"/>
      <c r="O563" s="213"/>
      <c r="P563" s="212"/>
      <c r="Q563" s="106" t="b">
        <f t="shared" si="36"/>
        <v>1</v>
      </c>
      <c r="R563" s="199">
        <f t="shared" si="35"/>
        <v>1</v>
      </c>
    </row>
    <row r="564" spans="1:18" x14ac:dyDescent="0.3">
      <c r="A564" s="124">
        <v>21</v>
      </c>
      <c r="B564" s="37" t="s">
        <v>1111</v>
      </c>
      <c r="C564" s="38">
        <v>10</v>
      </c>
      <c r="D564" s="125" t="s">
        <v>823</v>
      </c>
      <c r="E564" s="123" t="s">
        <v>1120</v>
      </c>
      <c r="F564" s="131"/>
      <c r="G564" s="128" t="s">
        <v>53</v>
      </c>
      <c r="H564" s="154" t="s">
        <v>344</v>
      </c>
      <c r="I564" s="155" t="s">
        <v>345</v>
      </c>
      <c r="J564" s="212"/>
      <c r="K564" s="212"/>
      <c r="L564" s="212"/>
      <c r="M564" s="213"/>
      <c r="N564" s="213"/>
      <c r="O564" s="213"/>
      <c r="P564" s="212"/>
      <c r="Q564" s="106" t="b">
        <f t="shared" si="36"/>
        <v>0</v>
      </c>
      <c r="R564" s="199">
        <f t="shared" si="35"/>
        <v>0</v>
      </c>
    </row>
    <row r="565" spans="1:18" x14ac:dyDescent="0.3">
      <c r="A565" s="124">
        <v>21</v>
      </c>
      <c r="B565" s="37" t="s">
        <v>1111</v>
      </c>
      <c r="C565" s="38">
        <v>11</v>
      </c>
      <c r="D565" s="125" t="s">
        <v>1096</v>
      </c>
      <c r="E565" s="123" t="s">
        <v>1121</v>
      </c>
      <c r="F565" s="126" t="s">
        <v>52</v>
      </c>
      <c r="G565" s="131"/>
      <c r="H565" s="122" t="s">
        <v>1152</v>
      </c>
      <c r="I565" s="123" t="s">
        <v>1132</v>
      </c>
      <c r="J565" s="212" t="s">
        <v>1383</v>
      </c>
      <c r="K565" s="212"/>
      <c r="L565" s="212"/>
      <c r="M565" s="213"/>
      <c r="N565" s="213"/>
      <c r="O565" s="213"/>
      <c r="P565" s="212"/>
      <c r="Q565" s="106" t="b">
        <f t="shared" si="36"/>
        <v>1</v>
      </c>
      <c r="R565" s="199">
        <f t="shared" si="35"/>
        <v>1</v>
      </c>
    </row>
    <row r="566" spans="1:18" x14ac:dyDescent="0.3">
      <c r="A566" s="124">
        <v>21</v>
      </c>
      <c r="B566" s="37" t="s">
        <v>1111</v>
      </c>
      <c r="C566" s="38">
        <v>12</v>
      </c>
      <c r="D566" s="125" t="s">
        <v>1097</v>
      </c>
      <c r="E566" s="123" t="s">
        <v>1122</v>
      </c>
      <c r="F566" s="131"/>
      <c r="G566" s="128" t="s">
        <v>53</v>
      </c>
      <c r="H566" s="122" t="s">
        <v>344</v>
      </c>
      <c r="I566" s="123" t="s">
        <v>345</v>
      </c>
      <c r="J566" s="212"/>
      <c r="K566" s="212"/>
      <c r="L566" s="212"/>
      <c r="M566" s="213"/>
      <c r="N566" s="213"/>
      <c r="O566" s="213"/>
      <c r="P566" s="212"/>
      <c r="Q566" s="106" t="b">
        <f t="shared" si="36"/>
        <v>0</v>
      </c>
      <c r="R566" s="199">
        <f t="shared" si="35"/>
        <v>0</v>
      </c>
    </row>
    <row r="567" spans="1:18" x14ac:dyDescent="0.3">
      <c r="A567" s="124">
        <v>21</v>
      </c>
      <c r="B567" s="37" t="s">
        <v>1111</v>
      </c>
      <c r="C567" s="38">
        <v>13</v>
      </c>
      <c r="D567" s="125" t="s">
        <v>1098</v>
      </c>
      <c r="E567" s="123" t="s">
        <v>1123</v>
      </c>
      <c r="F567" s="126" t="s">
        <v>52</v>
      </c>
      <c r="G567" s="131"/>
      <c r="H567" s="122" t="s">
        <v>343</v>
      </c>
      <c r="I567" s="123" t="s">
        <v>342</v>
      </c>
      <c r="J567" s="212"/>
      <c r="K567" s="212"/>
      <c r="L567" s="212"/>
      <c r="M567" s="213"/>
      <c r="N567" s="213"/>
      <c r="O567" s="213"/>
      <c r="P567" s="212"/>
      <c r="Q567" s="106" t="b">
        <f t="shared" si="36"/>
        <v>0</v>
      </c>
      <c r="R567" s="199">
        <f t="shared" si="35"/>
        <v>0</v>
      </c>
    </row>
    <row r="568" spans="1:18" x14ac:dyDescent="0.3">
      <c r="A568" s="124">
        <v>21</v>
      </c>
      <c r="B568" s="37" t="s">
        <v>1111</v>
      </c>
      <c r="C568" s="38">
        <v>14</v>
      </c>
      <c r="D568" s="125" t="s">
        <v>156</v>
      </c>
      <c r="E568" s="123" t="s">
        <v>1124</v>
      </c>
      <c r="F568" s="126" t="s">
        <v>52</v>
      </c>
      <c r="G568" s="131"/>
      <c r="H568" s="122" t="s">
        <v>1152</v>
      </c>
      <c r="I568" s="123" t="s">
        <v>1132</v>
      </c>
      <c r="J568" s="212" t="s">
        <v>1383</v>
      </c>
      <c r="K568" s="212"/>
      <c r="L568" s="212"/>
      <c r="M568" s="213"/>
      <c r="N568" s="213"/>
      <c r="O568" s="213"/>
      <c r="P568" s="212"/>
      <c r="Q568" s="106" t="b">
        <f t="shared" si="36"/>
        <v>1</v>
      </c>
      <c r="R568" s="199">
        <f t="shared" si="35"/>
        <v>1</v>
      </c>
    </row>
    <row r="569" spans="1:18" x14ac:dyDescent="0.3">
      <c r="A569" s="124">
        <v>21</v>
      </c>
      <c r="B569" s="37" t="s">
        <v>1111</v>
      </c>
      <c r="C569" s="38">
        <v>15</v>
      </c>
      <c r="D569" s="125" t="s">
        <v>1099</v>
      </c>
      <c r="E569" s="123" t="s">
        <v>1125</v>
      </c>
      <c r="F569" s="131"/>
      <c r="G569" s="128" t="s">
        <v>53</v>
      </c>
      <c r="H569" s="154" t="s">
        <v>344</v>
      </c>
      <c r="I569" s="155" t="s">
        <v>345</v>
      </c>
      <c r="J569" s="212"/>
      <c r="K569" s="212"/>
      <c r="L569" s="212"/>
      <c r="M569" s="213"/>
      <c r="N569" s="213"/>
      <c r="O569" s="213"/>
      <c r="P569" s="212"/>
      <c r="Q569" s="106" t="b">
        <f t="shared" si="36"/>
        <v>0</v>
      </c>
      <c r="R569" s="199">
        <f t="shared" si="35"/>
        <v>0</v>
      </c>
    </row>
    <row r="570" spans="1:18" x14ac:dyDescent="0.3">
      <c r="A570" s="124">
        <v>21</v>
      </c>
      <c r="B570" s="37" t="s">
        <v>1111</v>
      </c>
      <c r="C570" s="38">
        <v>16</v>
      </c>
      <c r="D570" s="125" t="s">
        <v>1100</v>
      </c>
      <c r="E570" s="123" t="s">
        <v>1126</v>
      </c>
      <c r="F570" s="131"/>
      <c r="G570" s="128" t="s">
        <v>53</v>
      </c>
      <c r="H570" s="154" t="s">
        <v>344</v>
      </c>
      <c r="I570" s="155" t="s">
        <v>345</v>
      </c>
      <c r="J570" s="212"/>
      <c r="K570" s="212"/>
      <c r="L570" s="212"/>
      <c r="M570" s="213"/>
      <c r="N570" s="213"/>
      <c r="O570" s="213"/>
      <c r="P570" s="212"/>
      <c r="Q570" s="106" t="b">
        <f t="shared" si="36"/>
        <v>0</v>
      </c>
      <c r="R570" s="199">
        <f t="shared" si="35"/>
        <v>0</v>
      </c>
    </row>
    <row r="571" spans="1:18" x14ac:dyDescent="0.3">
      <c r="A571" s="124">
        <v>21</v>
      </c>
      <c r="B571" s="37" t="s">
        <v>1111</v>
      </c>
      <c r="C571" s="38">
        <v>17</v>
      </c>
      <c r="D571" s="125" t="s">
        <v>43</v>
      </c>
      <c r="E571" s="123" t="s">
        <v>1127</v>
      </c>
      <c r="F571" s="126" t="s">
        <v>52</v>
      </c>
      <c r="G571" s="131"/>
      <c r="H571" s="122" t="s">
        <v>1152</v>
      </c>
      <c r="I571" s="123" t="s">
        <v>1132</v>
      </c>
      <c r="J571" s="212" t="s">
        <v>1383</v>
      </c>
      <c r="K571" s="212"/>
      <c r="L571" s="212"/>
      <c r="M571" s="213"/>
      <c r="N571" s="213"/>
      <c r="O571" s="213"/>
      <c r="P571" s="212" t="s">
        <v>1383</v>
      </c>
      <c r="Q571" s="106" t="b">
        <f t="shared" si="36"/>
        <v>1</v>
      </c>
      <c r="R571" s="199">
        <f t="shared" si="35"/>
        <v>2</v>
      </c>
    </row>
    <row r="572" spans="1:18" x14ac:dyDescent="0.3">
      <c r="A572" s="124">
        <v>21</v>
      </c>
      <c r="B572" s="37" t="s">
        <v>1111</v>
      </c>
      <c r="C572" s="38">
        <v>18</v>
      </c>
      <c r="D572" s="125" t="s">
        <v>1101</v>
      </c>
      <c r="E572" s="123" t="s">
        <v>1128</v>
      </c>
      <c r="F572" s="131"/>
      <c r="G572" s="128" t="s">
        <v>53</v>
      </c>
      <c r="H572" s="154" t="s">
        <v>344</v>
      </c>
      <c r="I572" s="155" t="s">
        <v>345</v>
      </c>
      <c r="J572" s="212"/>
      <c r="K572" s="212"/>
      <c r="L572" s="212"/>
      <c r="M572" s="213"/>
      <c r="N572" s="213"/>
      <c r="O572" s="213"/>
      <c r="P572" s="212"/>
      <c r="Q572" s="106" t="b">
        <f t="shared" si="36"/>
        <v>0</v>
      </c>
      <c r="R572" s="199">
        <f t="shared" si="35"/>
        <v>0</v>
      </c>
    </row>
    <row r="573" spans="1:18" x14ac:dyDescent="0.3">
      <c r="A573" s="124">
        <v>21</v>
      </c>
      <c r="B573" s="37" t="s">
        <v>1111</v>
      </c>
      <c r="C573" s="38">
        <v>19</v>
      </c>
      <c r="D573" s="125" t="s">
        <v>1102</v>
      </c>
      <c r="E573" s="123" t="s">
        <v>1129</v>
      </c>
      <c r="F573" s="126" t="s">
        <v>52</v>
      </c>
      <c r="G573" s="131"/>
      <c r="H573" s="122" t="s">
        <v>344</v>
      </c>
      <c r="I573" s="123" t="s">
        <v>345</v>
      </c>
      <c r="J573" s="212" t="s">
        <v>1383</v>
      </c>
      <c r="K573" s="212"/>
      <c r="L573" s="212"/>
      <c r="M573" s="213"/>
      <c r="N573" s="213"/>
      <c r="O573" s="213"/>
      <c r="P573" s="212"/>
      <c r="Q573" s="106" t="b">
        <f t="shared" si="36"/>
        <v>1</v>
      </c>
      <c r="R573" s="199">
        <f t="shared" si="35"/>
        <v>1</v>
      </c>
    </row>
    <row r="574" spans="1:18" x14ac:dyDescent="0.3">
      <c r="A574" s="124">
        <v>21</v>
      </c>
      <c r="B574" s="37" t="s">
        <v>1111</v>
      </c>
      <c r="C574" s="38">
        <v>20</v>
      </c>
      <c r="D574" s="125" t="s">
        <v>1103</v>
      </c>
      <c r="E574" s="123" t="s">
        <v>1130</v>
      </c>
      <c r="F574" s="126" t="s">
        <v>52</v>
      </c>
      <c r="G574" s="131"/>
      <c r="H574" s="122" t="s">
        <v>1152</v>
      </c>
      <c r="I574" s="123" t="s">
        <v>1132</v>
      </c>
      <c r="J574" s="212" t="s">
        <v>1383</v>
      </c>
      <c r="K574" s="212"/>
      <c r="L574" s="212"/>
      <c r="M574" s="213"/>
      <c r="N574" s="213"/>
      <c r="O574" s="213"/>
      <c r="P574" s="212"/>
      <c r="Q574" s="106" t="b">
        <f t="shared" si="36"/>
        <v>1</v>
      </c>
      <c r="R574" s="199">
        <f t="shared" si="35"/>
        <v>1</v>
      </c>
    </row>
    <row r="575" spans="1:18" x14ac:dyDescent="0.3">
      <c r="A575" s="124">
        <v>21</v>
      </c>
      <c r="B575" s="37" t="s">
        <v>1111</v>
      </c>
      <c r="C575" s="38">
        <v>21</v>
      </c>
      <c r="D575" s="125" t="s">
        <v>47</v>
      </c>
      <c r="E575" s="123" t="s">
        <v>1131</v>
      </c>
      <c r="F575" s="126" t="s">
        <v>52</v>
      </c>
      <c r="G575" s="131"/>
      <c r="H575" s="122" t="s">
        <v>1152</v>
      </c>
      <c r="I575" s="123" t="s">
        <v>1132</v>
      </c>
      <c r="J575" s="212" t="s">
        <v>1383</v>
      </c>
      <c r="K575" s="212" t="s">
        <v>1383</v>
      </c>
      <c r="L575" s="212"/>
      <c r="M575" s="213"/>
      <c r="N575" s="213"/>
      <c r="O575" s="213"/>
      <c r="P575" s="212"/>
      <c r="Q575" s="106" t="b">
        <f t="shared" si="36"/>
        <v>1</v>
      </c>
      <c r="R575" s="199">
        <f t="shared" si="35"/>
        <v>2</v>
      </c>
    </row>
    <row r="576" spans="1:18" x14ac:dyDescent="0.3">
      <c r="A576" s="124">
        <v>21</v>
      </c>
      <c r="B576" s="37" t="s">
        <v>1111</v>
      </c>
      <c r="C576" s="38">
        <v>22</v>
      </c>
      <c r="D576" s="125" t="s">
        <v>1104</v>
      </c>
      <c r="E576" s="123" t="s">
        <v>1132</v>
      </c>
      <c r="F576" s="126" t="s">
        <v>52</v>
      </c>
      <c r="G576" s="131"/>
      <c r="H576" s="122" t="s">
        <v>344</v>
      </c>
      <c r="I576" s="123" t="s">
        <v>345</v>
      </c>
      <c r="J576" s="212" t="s">
        <v>1383</v>
      </c>
      <c r="K576" s="212"/>
      <c r="L576" s="212"/>
      <c r="M576" s="213"/>
      <c r="N576" s="213"/>
      <c r="O576" s="213"/>
      <c r="P576" s="212"/>
      <c r="Q576" s="106" t="b">
        <f t="shared" si="36"/>
        <v>1</v>
      </c>
      <c r="R576" s="199">
        <f t="shared" si="35"/>
        <v>1</v>
      </c>
    </row>
    <row r="577" spans="1:18" x14ac:dyDescent="0.3">
      <c r="A577" s="124">
        <v>21</v>
      </c>
      <c r="B577" s="37" t="s">
        <v>1111</v>
      </c>
      <c r="C577" s="38">
        <v>23</v>
      </c>
      <c r="D577" s="125" t="s">
        <v>1105</v>
      </c>
      <c r="E577" s="123" t="s">
        <v>1133</v>
      </c>
      <c r="F577" s="126" t="s">
        <v>52</v>
      </c>
      <c r="G577" s="131"/>
      <c r="H577" s="122" t="s">
        <v>343</v>
      </c>
      <c r="I577" s="123" t="s">
        <v>342</v>
      </c>
      <c r="J577" s="212" t="s">
        <v>1383</v>
      </c>
      <c r="K577" s="212"/>
      <c r="L577" s="212"/>
      <c r="M577" s="213"/>
      <c r="N577" s="213"/>
      <c r="O577" s="213"/>
      <c r="P577" s="212"/>
      <c r="Q577" s="106" t="b">
        <f t="shared" si="36"/>
        <v>1</v>
      </c>
      <c r="R577" s="199">
        <f t="shared" si="35"/>
        <v>1</v>
      </c>
    </row>
    <row r="578" spans="1:18" x14ac:dyDescent="0.3">
      <c r="A578" s="124">
        <v>21</v>
      </c>
      <c r="B578" s="37" t="s">
        <v>1111</v>
      </c>
      <c r="C578" s="38">
        <v>24</v>
      </c>
      <c r="D578" s="125" t="s">
        <v>1106</v>
      </c>
      <c r="E578" s="123" t="s">
        <v>1134</v>
      </c>
      <c r="F578" s="126" t="s">
        <v>52</v>
      </c>
      <c r="G578" s="131"/>
      <c r="H578" s="122" t="s">
        <v>1152</v>
      </c>
      <c r="I578" s="123" t="s">
        <v>1132</v>
      </c>
      <c r="J578" s="212" t="s">
        <v>1383</v>
      </c>
      <c r="K578" s="212"/>
      <c r="L578" s="212"/>
      <c r="M578" s="213"/>
      <c r="N578" s="213"/>
      <c r="O578" s="213"/>
      <c r="P578" s="212"/>
      <c r="Q578" s="106" t="b">
        <f t="shared" si="36"/>
        <v>1</v>
      </c>
      <c r="R578" s="199">
        <f t="shared" si="35"/>
        <v>1</v>
      </c>
    </row>
    <row r="579" spans="1:18" x14ac:dyDescent="0.3">
      <c r="A579" s="124">
        <v>21</v>
      </c>
      <c r="B579" s="37" t="s">
        <v>1111</v>
      </c>
      <c r="C579" s="38">
        <v>25</v>
      </c>
      <c r="D579" s="125" t="s">
        <v>1107</v>
      </c>
      <c r="E579" s="123" t="s">
        <v>1135</v>
      </c>
      <c r="F579" s="126" t="s">
        <v>52</v>
      </c>
      <c r="G579" s="131"/>
      <c r="H579" s="122" t="s">
        <v>1152</v>
      </c>
      <c r="I579" s="123" t="s">
        <v>1132</v>
      </c>
      <c r="J579" s="212"/>
      <c r="K579" s="212"/>
      <c r="L579" s="212"/>
      <c r="M579" s="213"/>
      <c r="N579" s="213"/>
      <c r="O579" s="213"/>
      <c r="P579" s="212"/>
      <c r="Q579" s="106" t="b">
        <f t="shared" si="36"/>
        <v>0</v>
      </c>
      <c r="R579" s="199">
        <f t="shared" si="35"/>
        <v>0</v>
      </c>
    </row>
    <row r="580" spans="1:18" x14ac:dyDescent="0.3">
      <c r="A580" s="124">
        <v>21</v>
      </c>
      <c r="B580" s="37" t="s">
        <v>1111</v>
      </c>
      <c r="C580" s="38">
        <v>26</v>
      </c>
      <c r="D580" s="125" t="s">
        <v>1108</v>
      </c>
      <c r="E580" s="123" t="s">
        <v>1136</v>
      </c>
      <c r="F580" s="126" t="s">
        <v>52</v>
      </c>
      <c r="G580" s="131"/>
      <c r="H580" s="122" t="s">
        <v>343</v>
      </c>
      <c r="I580" s="123" t="s">
        <v>342</v>
      </c>
      <c r="J580" s="212"/>
      <c r="K580" s="212"/>
      <c r="L580" s="212"/>
      <c r="M580" s="213"/>
      <c r="N580" s="213"/>
      <c r="O580" s="213"/>
      <c r="P580" s="212"/>
      <c r="Q580" s="106" t="b">
        <f t="shared" si="36"/>
        <v>0</v>
      </c>
      <c r="R580" s="199">
        <f t="shared" ref="R580:R643" si="39">COUNTA(J580:P580)</f>
        <v>0</v>
      </c>
    </row>
    <row r="581" spans="1:18" x14ac:dyDescent="0.3">
      <c r="A581" s="124">
        <v>21</v>
      </c>
      <c r="B581" s="37" t="s">
        <v>1111</v>
      </c>
      <c r="C581" s="38">
        <v>27</v>
      </c>
      <c r="D581" s="125" t="s">
        <v>1109</v>
      </c>
      <c r="E581" s="123" t="s">
        <v>1137</v>
      </c>
      <c r="F581" s="131"/>
      <c r="G581" s="128" t="s">
        <v>53</v>
      </c>
      <c r="H581" s="154" t="s">
        <v>344</v>
      </c>
      <c r="I581" s="155" t="s">
        <v>345</v>
      </c>
      <c r="J581" s="212"/>
      <c r="K581" s="212"/>
      <c r="L581" s="212"/>
      <c r="M581" s="213"/>
      <c r="N581" s="213"/>
      <c r="O581" s="213"/>
      <c r="P581" s="212"/>
      <c r="Q581" s="106" t="b">
        <f t="shared" si="36"/>
        <v>0</v>
      </c>
      <c r="R581" s="199">
        <f t="shared" si="39"/>
        <v>0</v>
      </c>
    </row>
    <row r="582" spans="1:18" ht="19.5" thickBot="1" x14ac:dyDescent="0.35">
      <c r="A582" s="132">
        <v>21</v>
      </c>
      <c r="B582" s="39" t="s">
        <v>1111</v>
      </c>
      <c r="C582" s="45">
        <v>28</v>
      </c>
      <c r="D582" s="156" t="s">
        <v>1110</v>
      </c>
      <c r="E582" s="159" t="s">
        <v>1138</v>
      </c>
      <c r="F582" s="174"/>
      <c r="G582" s="135" t="s">
        <v>53</v>
      </c>
      <c r="H582" s="175" t="s">
        <v>344</v>
      </c>
      <c r="I582" s="176" t="s">
        <v>345</v>
      </c>
      <c r="J582" s="221"/>
      <c r="K582" s="221"/>
      <c r="L582" s="221"/>
      <c r="M582" s="222"/>
      <c r="N582" s="222"/>
      <c r="O582" s="222"/>
      <c r="P582" s="221"/>
      <c r="Q582" s="244" t="b">
        <f t="shared" ref="Q582" si="40">IF(COUNTA(J582:P582)=0,FALSE,TRUE)</f>
        <v>0</v>
      </c>
      <c r="R582" s="202">
        <f t="shared" si="39"/>
        <v>0</v>
      </c>
    </row>
    <row r="583" spans="1:18" ht="19.5" hidden="1" thickBot="1" x14ac:dyDescent="0.3">
      <c r="A583" s="137">
        <f>A582</f>
        <v>21</v>
      </c>
      <c r="B583" s="138" t="str">
        <f>B582</f>
        <v>SAN PABLO</v>
      </c>
      <c r="C583" s="15">
        <f>COUNTA(C555:C582)</f>
        <v>28</v>
      </c>
      <c r="D583" s="139" t="s">
        <v>1</v>
      </c>
      <c r="E583" s="139" t="s">
        <v>1374</v>
      </c>
      <c r="F583" s="15">
        <f>COUNTA(F555:F582)</f>
        <v>17</v>
      </c>
      <c r="G583" s="15">
        <f>COUNTA(G555:G582)</f>
        <v>11</v>
      </c>
      <c r="H583" s="291" t="s">
        <v>3</v>
      </c>
      <c r="I583" s="292"/>
      <c r="J583" s="15">
        <f t="shared" ref="J583:P583" si="41">COUNTA(J555:J582)</f>
        <v>14</v>
      </c>
      <c r="K583" s="15">
        <f t="shared" si="41"/>
        <v>1</v>
      </c>
      <c r="L583" s="15">
        <f t="shared" si="41"/>
        <v>0</v>
      </c>
      <c r="M583" s="15">
        <f t="shared" si="41"/>
        <v>0</v>
      </c>
      <c r="N583" s="15">
        <f t="shared" si="41"/>
        <v>1</v>
      </c>
      <c r="O583" s="15">
        <f t="shared" si="41"/>
        <v>0</v>
      </c>
      <c r="P583" s="15">
        <f t="shared" si="41"/>
        <v>1</v>
      </c>
      <c r="Q583" s="22">
        <f>COUNTIF(Q555:Q582,TRUE)</f>
        <v>14</v>
      </c>
      <c r="R583" s="249">
        <f>SUM(J583:P583)</f>
        <v>17</v>
      </c>
    </row>
    <row r="584" spans="1:18" x14ac:dyDescent="0.3">
      <c r="A584" s="140">
        <v>22</v>
      </c>
      <c r="B584" s="36" t="s">
        <v>1150</v>
      </c>
      <c r="C584" s="46">
        <v>1</v>
      </c>
      <c r="D584" s="166" t="s">
        <v>1139</v>
      </c>
      <c r="E584" s="144" t="s">
        <v>1153</v>
      </c>
      <c r="F584" s="121" t="s">
        <v>52</v>
      </c>
      <c r="G584" s="165"/>
      <c r="H584" s="142" t="s">
        <v>262</v>
      </c>
      <c r="I584" s="144" t="s">
        <v>580</v>
      </c>
      <c r="J584" s="209" t="s">
        <v>1383</v>
      </c>
      <c r="K584" s="209"/>
      <c r="L584" s="209"/>
      <c r="M584" s="210"/>
      <c r="N584" s="210"/>
      <c r="O584" s="210"/>
      <c r="P584" s="209"/>
      <c r="Q584" s="106" t="b">
        <f t="shared" ref="Q584:Q647" si="42">IF(COUNTA(J584:P584)=0,FALSE,TRUE)</f>
        <v>1</v>
      </c>
      <c r="R584" s="196">
        <f t="shared" si="39"/>
        <v>1</v>
      </c>
    </row>
    <row r="585" spans="1:18" x14ac:dyDescent="0.3">
      <c r="A585" s="124">
        <v>22</v>
      </c>
      <c r="B585" s="37" t="s">
        <v>1150</v>
      </c>
      <c r="C585" s="38">
        <v>2</v>
      </c>
      <c r="D585" s="125" t="s">
        <v>995</v>
      </c>
      <c r="E585" s="123" t="s">
        <v>1154</v>
      </c>
      <c r="F585" s="126" t="s">
        <v>52</v>
      </c>
      <c r="G585" s="131"/>
      <c r="H585" s="122" t="s">
        <v>170</v>
      </c>
      <c r="I585" s="123" t="s">
        <v>265</v>
      </c>
      <c r="J585" s="212"/>
      <c r="K585" s="212"/>
      <c r="L585" s="212"/>
      <c r="M585" s="213"/>
      <c r="N585" s="213"/>
      <c r="O585" s="213"/>
      <c r="P585" s="212"/>
      <c r="Q585" s="106" t="b">
        <f t="shared" si="42"/>
        <v>0</v>
      </c>
      <c r="R585" s="199">
        <f t="shared" si="39"/>
        <v>0</v>
      </c>
    </row>
    <row r="586" spans="1:18" x14ac:dyDescent="0.3">
      <c r="A586" s="124">
        <v>22</v>
      </c>
      <c r="B586" s="37" t="s">
        <v>1150</v>
      </c>
      <c r="C586" s="38">
        <v>3</v>
      </c>
      <c r="D586" s="125" t="s">
        <v>1140</v>
      </c>
      <c r="E586" s="123" t="s">
        <v>1155</v>
      </c>
      <c r="F586" s="126" t="s">
        <v>52</v>
      </c>
      <c r="G586" s="128"/>
      <c r="H586" s="122" t="s">
        <v>262</v>
      </c>
      <c r="I586" s="123" t="s">
        <v>580</v>
      </c>
      <c r="J586" s="212"/>
      <c r="K586" s="212"/>
      <c r="L586" s="212"/>
      <c r="M586" s="213"/>
      <c r="N586" s="213"/>
      <c r="O586" s="213"/>
      <c r="P586" s="212"/>
      <c r="Q586" s="106" t="b">
        <f t="shared" si="42"/>
        <v>0</v>
      </c>
      <c r="R586" s="199">
        <f t="shared" si="39"/>
        <v>0</v>
      </c>
    </row>
    <row r="587" spans="1:18" x14ac:dyDescent="0.3">
      <c r="A587" s="124">
        <v>22</v>
      </c>
      <c r="B587" s="37" t="s">
        <v>1150</v>
      </c>
      <c r="C587" s="38">
        <v>4</v>
      </c>
      <c r="D587" s="125" t="s">
        <v>1141</v>
      </c>
      <c r="E587" s="123" t="s">
        <v>1156</v>
      </c>
      <c r="F587" s="131"/>
      <c r="G587" s="128" t="s">
        <v>53</v>
      </c>
      <c r="H587" s="154" t="s">
        <v>1172</v>
      </c>
      <c r="I587" s="155" t="s">
        <v>1171</v>
      </c>
      <c r="J587" s="212"/>
      <c r="K587" s="212"/>
      <c r="L587" s="212"/>
      <c r="M587" s="213"/>
      <c r="N587" s="213"/>
      <c r="O587" s="213"/>
      <c r="P587" s="212"/>
      <c r="Q587" s="106" t="b">
        <f t="shared" si="42"/>
        <v>0</v>
      </c>
      <c r="R587" s="199">
        <f t="shared" si="39"/>
        <v>0</v>
      </c>
    </row>
    <row r="588" spans="1:18" x14ac:dyDescent="0.3">
      <c r="A588" s="124">
        <v>22</v>
      </c>
      <c r="B588" s="37" t="s">
        <v>1150</v>
      </c>
      <c r="C588" s="38">
        <v>5</v>
      </c>
      <c r="D588" s="125" t="s">
        <v>67</v>
      </c>
      <c r="E588" s="123" t="s">
        <v>1157</v>
      </c>
      <c r="F588" s="126" t="s">
        <v>52</v>
      </c>
      <c r="G588" s="128"/>
      <c r="H588" s="122" t="s">
        <v>262</v>
      </c>
      <c r="I588" s="123" t="s">
        <v>580</v>
      </c>
      <c r="J588" s="212"/>
      <c r="K588" s="212"/>
      <c r="L588" s="212"/>
      <c r="M588" s="213"/>
      <c r="N588" s="213"/>
      <c r="O588" s="213"/>
      <c r="P588" s="212"/>
      <c r="Q588" s="106" t="b">
        <f t="shared" si="42"/>
        <v>0</v>
      </c>
      <c r="R588" s="199">
        <f t="shared" si="39"/>
        <v>0</v>
      </c>
    </row>
    <row r="589" spans="1:18" x14ac:dyDescent="0.3">
      <c r="A589" s="124">
        <v>22</v>
      </c>
      <c r="B589" s="37" t="s">
        <v>1150</v>
      </c>
      <c r="C589" s="38">
        <v>6</v>
      </c>
      <c r="D589" s="125" t="s">
        <v>1142</v>
      </c>
      <c r="E589" s="123" t="s">
        <v>1158</v>
      </c>
      <c r="F589" s="126" t="s">
        <v>52</v>
      </c>
      <c r="G589" s="131"/>
      <c r="H589" s="122" t="s">
        <v>262</v>
      </c>
      <c r="I589" s="123" t="s">
        <v>580</v>
      </c>
      <c r="J589" s="212" t="s">
        <v>1383</v>
      </c>
      <c r="K589" s="212"/>
      <c r="L589" s="212"/>
      <c r="M589" s="213"/>
      <c r="N589" s="213"/>
      <c r="O589" s="213"/>
      <c r="P589" s="212"/>
      <c r="Q589" s="106" t="b">
        <f t="shared" si="42"/>
        <v>1</v>
      </c>
      <c r="R589" s="199">
        <f t="shared" si="39"/>
        <v>1</v>
      </c>
    </row>
    <row r="590" spans="1:18" x14ac:dyDescent="0.3">
      <c r="A590" s="124">
        <v>22</v>
      </c>
      <c r="B590" s="37" t="s">
        <v>1150</v>
      </c>
      <c r="C590" s="38">
        <v>7</v>
      </c>
      <c r="D590" s="125" t="s">
        <v>493</v>
      </c>
      <c r="E590" s="123" t="s">
        <v>1159</v>
      </c>
      <c r="F590" s="126" t="s">
        <v>52</v>
      </c>
      <c r="G590" s="131"/>
      <c r="H590" s="122" t="s">
        <v>170</v>
      </c>
      <c r="I590" s="123" t="s">
        <v>265</v>
      </c>
      <c r="J590" s="212" t="s">
        <v>1383</v>
      </c>
      <c r="K590" s="212"/>
      <c r="L590" s="212"/>
      <c r="M590" s="213"/>
      <c r="N590" s="213"/>
      <c r="O590" s="213"/>
      <c r="P590" s="212"/>
      <c r="Q590" s="106" t="b">
        <f t="shared" si="42"/>
        <v>1</v>
      </c>
      <c r="R590" s="199">
        <f t="shared" si="39"/>
        <v>1</v>
      </c>
    </row>
    <row r="591" spans="1:18" x14ac:dyDescent="0.3">
      <c r="A591" s="124">
        <v>22</v>
      </c>
      <c r="B591" s="37" t="s">
        <v>1150</v>
      </c>
      <c r="C591" s="38">
        <v>8</v>
      </c>
      <c r="D591" s="125" t="s">
        <v>34</v>
      </c>
      <c r="E591" s="123" t="s">
        <v>1160</v>
      </c>
      <c r="F591" s="126" t="s">
        <v>52</v>
      </c>
      <c r="G591" s="128"/>
      <c r="H591" s="122" t="s">
        <v>262</v>
      </c>
      <c r="I591" s="123" t="s">
        <v>580</v>
      </c>
      <c r="J591" s="212"/>
      <c r="K591" s="212"/>
      <c r="L591" s="212"/>
      <c r="M591" s="213"/>
      <c r="N591" s="213"/>
      <c r="O591" s="213"/>
      <c r="P591" s="212"/>
      <c r="Q591" s="106" t="b">
        <f t="shared" si="42"/>
        <v>0</v>
      </c>
      <c r="R591" s="199">
        <f t="shared" si="39"/>
        <v>0</v>
      </c>
    </row>
    <row r="592" spans="1:18" x14ac:dyDescent="0.3">
      <c r="A592" s="124">
        <v>22</v>
      </c>
      <c r="B592" s="37" t="s">
        <v>1150</v>
      </c>
      <c r="C592" s="38">
        <v>9</v>
      </c>
      <c r="D592" s="125" t="s">
        <v>1143</v>
      </c>
      <c r="E592" s="123" t="s">
        <v>1161</v>
      </c>
      <c r="F592" s="126" t="s">
        <v>52</v>
      </c>
      <c r="G592" s="128"/>
      <c r="H592" s="122" t="s">
        <v>1172</v>
      </c>
      <c r="I592" s="123" t="s">
        <v>1171</v>
      </c>
      <c r="J592" s="212"/>
      <c r="K592" s="212"/>
      <c r="L592" s="212"/>
      <c r="M592" s="213"/>
      <c r="N592" s="213"/>
      <c r="O592" s="213"/>
      <c r="P592" s="212"/>
      <c r="Q592" s="106" t="b">
        <f t="shared" si="42"/>
        <v>0</v>
      </c>
      <c r="R592" s="199">
        <f t="shared" si="39"/>
        <v>0</v>
      </c>
    </row>
    <row r="593" spans="1:18" x14ac:dyDescent="0.3">
      <c r="A593" s="124">
        <v>22</v>
      </c>
      <c r="B593" s="37" t="s">
        <v>1150</v>
      </c>
      <c r="C593" s="38">
        <v>10</v>
      </c>
      <c r="D593" s="125" t="s">
        <v>1144</v>
      </c>
      <c r="E593" s="123" t="s">
        <v>1162</v>
      </c>
      <c r="F593" s="126" t="s">
        <v>52</v>
      </c>
      <c r="G593" s="128"/>
      <c r="H593" s="122" t="s">
        <v>258</v>
      </c>
      <c r="I593" s="123" t="s">
        <v>213</v>
      </c>
      <c r="J593" s="212" t="s">
        <v>1383</v>
      </c>
      <c r="K593" s="212"/>
      <c r="L593" s="212"/>
      <c r="M593" s="213"/>
      <c r="N593" s="213"/>
      <c r="O593" s="213"/>
      <c r="P593" s="212"/>
      <c r="Q593" s="106" t="b">
        <f t="shared" si="42"/>
        <v>1</v>
      </c>
      <c r="R593" s="199">
        <f t="shared" si="39"/>
        <v>1</v>
      </c>
    </row>
    <row r="594" spans="1:18" x14ac:dyDescent="0.3">
      <c r="A594" s="124">
        <v>22</v>
      </c>
      <c r="B594" s="37" t="s">
        <v>1150</v>
      </c>
      <c r="C594" s="38">
        <v>11</v>
      </c>
      <c r="D594" s="125" t="s">
        <v>1145</v>
      </c>
      <c r="E594" s="123" t="s">
        <v>1163</v>
      </c>
      <c r="F594" s="126" t="s">
        <v>52</v>
      </c>
      <c r="G594" s="131"/>
      <c r="H594" s="122" t="s">
        <v>262</v>
      </c>
      <c r="I594" s="123" t="s">
        <v>580</v>
      </c>
      <c r="J594" s="212"/>
      <c r="K594" s="212"/>
      <c r="L594" s="212"/>
      <c r="M594" s="213"/>
      <c r="N594" s="213"/>
      <c r="O594" s="213"/>
      <c r="P594" s="212"/>
      <c r="Q594" s="106" t="b">
        <f t="shared" si="42"/>
        <v>0</v>
      </c>
      <c r="R594" s="199">
        <f t="shared" si="39"/>
        <v>0</v>
      </c>
    </row>
    <row r="595" spans="1:18" x14ac:dyDescent="0.3">
      <c r="A595" s="124">
        <v>22</v>
      </c>
      <c r="B595" s="37" t="s">
        <v>1150</v>
      </c>
      <c r="C595" s="38">
        <v>12</v>
      </c>
      <c r="D595" s="125" t="s">
        <v>43</v>
      </c>
      <c r="E595" s="123" t="s">
        <v>1164</v>
      </c>
      <c r="F595" s="126" t="s">
        <v>52</v>
      </c>
      <c r="G595" s="131"/>
      <c r="H595" s="122" t="s">
        <v>262</v>
      </c>
      <c r="I595" s="123" t="s">
        <v>580</v>
      </c>
      <c r="J595" s="212" t="s">
        <v>1383</v>
      </c>
      <c r="K595" s="212"/>
      <c r="L595" s="212"/>
      <c r="M595" s="213"/>
      <c r="N595" s="213"/>
      <c r="O595" s="213"/>
      <c r="P595" s="212"/>
      <c r="Q595" s="106" t="b">
        <f t="shared" si="42"/>
        <v>1</v>
      </c>
      <c r="R595" s="199">
        <f t="shared" si="39"/>
        <v>1</v>
      </c>
    </row>
    <row r="596" spans="1:18" x14ac:dyDescent="0.3">
      <c r="A596" s="124">
        <v>22</v>
      </c>
      <c r="B596" s="37" t="s">
        <v>1150</v>
      </c>
      <c r="C596" s="38">
        <v>13</v>
      </c>
      <c r="D596" s="125" t="s">
        <v>828</v>
      </c>
      <c r="E596" s="123" t="s">
        <v>1165</v>
      </c>
      <c r="F596" s="126" t="s">
        <v>52</v>
      </c>
      <c r="G596" s="131"/>
      <c r="H596" s="122" t="s">
        <v>170</v>
      </c>
      <c r="I596" s="123" t="s">
        <v>265</v>
      </c>
      <c r="J596" s="212" t="s">
        <v>1383</v>
      </c>
      <c r="K596" s="212"/>
      <c r="L596" s="212"/>
      <c r="M596" s="213"/>
      <c r="N596" s="213"/>
      <c r="O596" s="213"/>
      <c r="P596" s="212"/>
      <c r="Q596" s="106" t="b">
        <f t="shared" si="42"/>
        <v>1</v>
      </c>
      <c r="R596" s="199">
        <f t="shared" si="39"/>
        <v>1</v>
      </c>
    </row>
    <row r="597" spans="1:18" x14ac:dyDescent="0.3">
      <c r="A597" s="124">
        <v>22</v>
      </c>
      <c r="B597" s="37" t="s">
        <v>1150</v>
      </c>
      <c r="C597" s="38">
        <v>14</v>
      </c>
      <c r="D597" s="125" t="s">
        <v>1146</v>
      </c>
      <c r="E597" s="123" t="s">
        <v>1166</v>
      </c>
      <c r="F597" s="126" t="s">
        <v>52</v>
      </c>
      <c r="G597" s="128"/>
      <c r="H597" s="122" t="s">
        <v>1172</v>
      </c>
      <c r="I597" s="123" t="s">
        <v>1171</v>
      </c>
      <c r="J597" s="212"/>
      <c r="K597" s="212"/>
      <c r="L597" s="212"/>
      <c r="M597" s="213"/>
      <c r="N597" s="213"/>
      <c r="O597" s="213"/>
      <c r="P597" s="212"/>
      <c r="Q597" s="106" t="b">
        <f t="shared" si="42"/>
        <v>0</v>
      </c>
      <c r="R597" s="199">
        <f t="shared" si="39"/>
        <v>0</v>
      </c>
    </row>
    <row r="598" spans="1:18" x14ac:dyDescent="0.3">
      <c r="A598" s="124">
        <v>22</v>
      </c>
      <c r="B598" s="37" t="s">
        <v>1150</v>
      </c>
      <c r="C598" s="38">
        <v>15</v>
      </c>
      <c r="D598" s="125" t="s">
        <v>898</v>
      </c>
      <c r="E598" s="123" t="s">
        <v>1167</v>
      </c>
      <c r="F598" s="131"/>
      <c r="G598" s="128" t="s">
        <v>53</v>
      </c>
      <c r="H598" s="154" t="s">
        <v>1172</v>
      </c>
      <c r="I598" s="155" t="s">
        <v>1171</v>
      </c>
      <c r="J598" s="212"/>
      <c r="K598" s="212"/>
      <c r="L598" s="212"/>
      <c r="M598" s="213"/>
      <c r="N598" s="213"/>
      <c r="O598" s="213"/>
      <c r="P598" s="212"/>
      <c r="Q598" s="106" t="b">
        <f t="shared" si="42"/>
        <v>0</v>
      </c>
      <c r="R598" s="199">
        <f t="shared" si="39"/>
        <v>0</v>
      </c>
    </row>
    <row r="599" spans="1:18" x14ac:dyDescent="0.3">
      <c r="A599" s="124">
        <v>22</v>
      </c>
      <c r="B599" s="37" t="s">
        <v>1150</v>
      </c>
      <c r="C599" s="38">
        <v>16</v>
      </c>
      <c r="D599" s="125" t="s">
        <v>1147</v>
      </c>
      <c r="E599" s="123" t="s">
        <v>1168</v>
      </c>
      <c r="F599" s="126" t="s">
        <v>52</v>
      </c>
      <c r="G599" s="131"/>
      <c r="H599" s="122" t="s">
        <v>262</v>
      </c>
      <c r="I599" s="123" t="s">
        <v>580</v>
      </c>
      <c r="J599" s="212" t="s">
        <v>1383</v>
      </c>
      <c r="K599" s="212"/>
      <c r="L599" s="212"/>
      <c r="M599" s="213"/>
      <c r="N599" s="213"/>
      <c r="O599" s="213"/>
      <c r="P599" s="212"/>
      <c r="Q599" s="106" t="b">
        <f t="shared" si="42"/>
        <v>1</v>
      </c>
      <c r="R599" s="199">
        <f t="shared" si="39"/>
        <v>1</v>
      </c>
    </row>
    <row r="600" spans="1:18" x14ac:dyDescent="0.3">
      <c r="A600" s="124">
        <v>22</v>
      </c>
      <c r="B600" s="37" t="s">
        <v>1150</v>
      </c>
      <c r="C600" s="38">
        <v>17</v>
      </c>
      <c r="D600" s="125" t="s">
        <v>1148</v>
      </c>
      <c r="E600" s="123" t="s">
        <v>1169</v>
      </c>
      <c r="F600" s="126" t="s">
        <v>52</v>
      </c>
      <c r="G600" s="131"/>
      <c r="H600" s="122" t="s">
        <v>262</v>
      </c>
      <c r="I600" s="123" t="s">
        <v>580</v>
      </c>
      <c r="J600" s="212" t="s">
        <v>1383</v>
      </c>
      <c r="K600" s="212"/>
      <c r="L600" s="212"/>
      <c r="M600" s="213"/>
      <c r="N600" s="213"/>
      <c r="O600" s="213"/>
      <c r="P600" s="212"/>
      <c r="Q600" s="106" t="b">
        <f t="shared" si="42"/>
        <v>1</v>
      </c>
      <c r="R600" s="199">
        <f t="shared" si="39"/>
        <v>1</v>
      </c>
    </row>
    <row r="601" spans="1:18" ht="19.5" thickBot="1" x14ac:dyDescent="0.35">
      <c r="A601" s="161">
        <v>22</v>
      </c>
      <c r="B601" s="47" t="s">
        <v>1150</v>
      </c>
      <c r="C601" s="48">
        <v>18</v>
      </c>
      <c r="D601" s="166" t="s">
        <v>1149</v>
      </c>
      <c r="E601" s="148" t="s">
        <v>1170</v>
      </c>
      <c r="F601" s="162" t="s">
        <v>52</v>
      </c>
      <c r="G601" s="167"/>
      <c r="H601" s="147" t="s">
        <v>170</v>
      </c>
      <c r="I601" s="148" t="s">
        <v>265</v>
      </c>
      <c r="J601" s="215" t="s">
        <v>1383</v>
      </c>
      <c r="K601" s="215"/>
      <c r="L601" s="215"/>
      <c r="M601" s="216"/>
      <c r="N601" s="216"/>
      <c r="O601" s="216"/>
      <c r="P601" s="215"/>
      <c r="Q601" s="106" t="b">
        <f t="shared" si="42"/>
        <v>1</v>
      </c>
      <c r="R601" s="205">
        <f t="shared" si="39"/>
        <v>1</v>
      </c>
    </row>
    <row r="602" spans="1:18" ht="19.5" hidden="1" thickBot="1" x14ac:dyDescent="0.3">
      <c r="A602" s="137">
        <f>A601</f>
        <v>22</v>
      </c>
      <c r="B602" s="138" t="str">
        <f>B601</f>
        <v>SOMINOT</v>
      </c>
      <c r="C602" s="15">
        <f>COUNTA(C584:C601)</f>
        <v>18</v>
      </c>
      <c r="D602" s="139" t="s">
        <v>1</v>
      </c>
      <c r="E602" s="139" t="s">
        <v>1374</v>
      </c>
      <c r="F602" s="15">
        <f>COUNTA(F584:F601)</f>
        <v>16</v>
      </c>
      <c r="G602" s="15">
        <f>COUNTA(G584:G601)</f>
        <v>2</v>
      </c>
      <c r="H602" s="291" t="s">
        <v>3</v>
      </c>
      <c r="I602" s="292"/>
      <c r="J602" s="15">
        <f>COUNTA(J584:J601)</f>
        <v>9</v>
      </c>
      <c r="K602" s="15">
        <f t="shared" ref="K602:P602" si="43">COUNTA(K584:K601)</f>
        <v>0</v>
      </c>
      <c r="L602" s="15">
        <f t="shared" si="43"/>
        <v>0</v>
      </c>
      <c r="M602" s="15">
        <f t="shared" si="43"/>
        <v>0</v>
      </c>
      <c r="N602" s="15">
        <f t="shared" si="43"/>
        <v>0</v>
      </c>
      <c r="O602" s="15">
        <f t="shared" si="43"/>
        <v>0</v>
      </c>
      <c r="P602" s="15">
        <f t="shared" si="43"/>
        <v>0</v>
      </c>
      <c r="Q602" s="22">
        <f>COUNTIF(Q584:Q601,TRUE)</f>
        <v>9</v>
      </c>
      <c r="R602" s="249">
        <f>SUM(J602:P602)</f>
        <v>9</v>
      </c>
    </row>
    <row r="603" spans="1:18" x14ac:dyDescent="0.3">
      <c r="A603" s="119">
        <v>23</v>
      </c>
      <c r="B603" s="41" t="s">
        <v>1183</v>
      </c>
      <c r="C603" s="44">
        <v>1</v>
      </c>
      <c r="D603" s="150" t="s">
        <v>1173</v>
      </c>
      <c r="E603" s="153" t="s">
        <v>1184</v>
      </c>
      <c r="F603" s="151" t="s">
        <v>52</v>
      </c>
      <c r="G603" s="168"/>
      <c r="H603" s="152" t="s">
        <v>343</v>
      </c>
      <c r="I603" s="153" t="s">
        <v>342</v>
      </c>
      <c r="J603" s="218"/>
      <c r="K603" s="218"/>
      <c r="L603" s="218"/>
      <c r="M603" s="219"/>
      <c r="N603" s="219"/>
      <c r="O603" s="219"/>
      <c r="P603" s="218"/>
      <c r="Q603" s="243" t="b">
        <f t="shared" si="42"/>
        <v>0</v>
      </c>
      <c r="R603" s="208">
        <f t="shared" si="39"/>
        <v>0</v>
      </c>
    </row>
    <row r="604" spans="1:18" x14ac:dyDescent="0.3">
      <c r="A604" s="124">
        <v>23</v>
      </c>
      <c r="B604" s="37" t="s">
        <v>1183</v>
      </c>
      <c r="C604" s="38">
        <v>2</v>
      </c>
      <c r="D604" s="125" t="s">
        <v>1174</v>
      </c>
      <c r="E604" s="123" t="s">
        <v>1186</v>
      </c>
      <c r="F604" s="131"/>
      <c r="G604" s="128" t="s">
        <v>53</v>
      </c>
      <c r="H604" s="154" t="s">
        <v>995</v>
      </c>
      <c r="I604" s="155" t="s">
        <v>1197</v>
      </c>
      <c r="J604" s="212"/>
      <c r="K604" s="212"/>
      <c r="L604" s="212"/>
      <c r="M604" s="213"/>
      <c r="N604" s="213"/>
      <c r="O604" s="213"/>
      <c r="P604" s="212"/>
      <c r="Q604" s="106" t="b">
        <f t="shared" si="42"/>
        <v>0</v>
      </c>
      <c r="R604" s="199">
        <f t="shared" si="39"/>
        <v>0</v>
      </c>
    </row>
    <row r="605" spans="1:18" x14ac:dyDescent="0.3">
      <c r="A605" s="124">
        <v>23</v>
      </c>
      <c r="B605" s="37" t="s">
        <v>1183</v>
      </c>
      <c r="C605" s="38">
        <v>3</v>
      </c>
      <c r="D605" s="125" t="s">
        <v>1175</v>
      </c>
      <c r="E605" s="123" t="s">
        <v>1185</v>
      </c>
      <c r="F605" s="126" t="s">
        <v>52</v>
      </c>
      <c r="G605" s="131"/>
      <c r="H605" s="122" t="s">
        <v>995</v>
      </c>
      <c r="I605" s="123" t="s">
        <v>1197</v>
      </c>
      <c r="J605" s="212" t="s">
        <v>1383</v>
      </c>
      <c r="K605" s="212"/>
      <c r="L605" s="212"/>
      <c r="M605" s="213"/>
      <c r="N605" s="213"/>
      <c r="O605" s="213"/>
      <c r="P605" s="212"/>
      <c r="Q605" s="106" t="b">
        <f t="shared" si="42"/>
        <v>1</v>
      </c>
      <c r="R605" s="199">
        <f t="shared" si="39"/>
        <v>1</v>
      </c>
    </row>
    <row r="606" spans="1:18" x14ac:dyDescent="0.3">
      <c r="A606" s="124">
        <v>23</v>
      </c>
      <c r="B606" s="37" t="s">
        <v>1183</v>
      </c>
      <c r="C606" s="38">
        <v>4</v>
      </c>
      <c r="D606" s="125" t="s">
        <v>1176</v>
      </c>
      <c r="E606" s="123" t="s">
        <v>347</v>
      </c>
      <c r="F606" s="126" t="s">
        <v>52</v>
      </c>
      <c r="G606" s="131"/>
      <c r="H606" s="122" t="s">
        <v>344</v>
      </c>
      <c r="I606" s="123" t="s">
        <v>345</v>
      </c>
      <c r="J606" s="212" t="s">
        <v>1383</v>
      </c>
      <c r="K606" s="212"/>
      <c r="L606" s="212"/>
      <c r="M606" s="213"/>
      <c r="N606" s="212" t="s">
        <v>1383</v>
      </c>
      <c r="O606" s="212"/>
      <c r="P606" s="212" t="s">
        <v>1383</v>
      </c>
      <c r="Q606" s="106" t="b">
        <f t="shared" si="42"/>
        <v>1</v>
      </c>
      <c r="R606" s="199">
        <f t="shared" si="39"/>
        <v>3</v>
      </c>
    </row>
    <row r="607" spans="1:18" x14ac:dyDescent="0.3">
      <c r="A607" s="124">
        <v>23</v>
      </c>
      <c r="B607" s="37" t="s">
        <v>1183</v>
      </c>
      <c r="C607" s="38">
        <v>5</v>
      </c>
      <c r="D607" s="125" t="s">
        <v>1054</v>
      </c>
      <c r="E607" s="123" t="s">
        <v>1187</v>
      </c>
      <c r="F607" s="126" t="s">
        <v>52</v>
      </c>
      <c r="G607" s="131"/>
      <c r="H607" s="122" t="s">
        <v>1198</v>
      </c>
      <c r="I607" s="123" t="s">
        <v>1199</v>
      </c>
      <c r="J607" s="212" t="s">
        <v>1383</v>
      </c>
      <c r="K607" s="212" t="s">
        <v>1383</v>
      </c>
      <c r="L607" s="212"/>
      <c r="M607" s="213"/>
      <c r="N607" s="213" t="s">
        <v>1383</v>
      </c>
      <c r="O607" s="213"/>
      <c r="P607" s="212" t="s">
        <v>1383</v>
      </c>
      <c r="Q607" s="106" t="b">
        <f t="shared" si="42"/>
        <v>1</v>
      </c>
      <c r="R607" s="199">
        <f t="shared" si="39"/>
        <v>4</v>
      </c>
    </row>
    <row r="608" spans="1:18" x14ac:dyDescent="0.3">
      <c r="A608" s="124">
        <v>23</v>
      </c>
      <c r="B608" s="37" t="s">
        <v>1183</v>
      </c>
      <c r="C608" s="38">
        <v>6</v>
      </c>
      <c r="D608" s="125" t="s">
        <v>1177</v>
      </c>
      <c r="E608" s="123" t="s">
        <v>1188</v>
      </c>
      <c r="F608" s="126" t="s">
        <v>52</v>
      </c>
      <c r="G608" s="131"/>
      <c r="H608" s="122" t="s">
        <v>343</v>
      </c>
      <c r="I608" s="123" t="s">
        <v>342</v>
      </c>
      <c r="J608" s="212"/>
      <c r="K608" s="212"/>
      <c r="L608" s="212"/>
      <c r="M608" s="213"/>
      <c r="N608" s="213"/>
      <c r="O608" s="213"/>
      <c r="P608" s="212"/>
      <c r="Q608" s="106" t="b">
        <f t="shared" si="42"/>
        <v>0</v>
      </c>
      <c r="R608" s="199">
        <f t="shared" si="39"/>
        <v>0</v>
      </c>
    </row>
    <row r="609" spans="1:18" x14ac:dyDescent="0.3">
      <c r="A609" s="124">
        <v>23</v>
      </c>
      <c r="B609" s="37" t="s">
        <v>1183</v>
      </c>
      <c r="C609" s="38">
        <v>7</v>
      </c>
      <c r="D609" s="125" t="s">
        <v>1178</v>
      </c>
      <c r="E609" s="123" t="s">
        <v>1189</v>
      </c>
      <c r="F609" s="131"/>
      <c r="G609" s="128" t="s">
        <v>53</v>
      </c>
      <c r="H609" s="154" t="s">
        <v>995</v>
      </c>
      <c r="I609" s="155" t="s">
        <v>1197</v>
      </c>
      <c r="J609" s="212"/>
      <c r="K609" s="212"/>
      <c r="L609" s="212"/>
      <c r="M609" s="213"/>
      <c r="N609" s="213"/>
      <c r="O609" s="213"/>
      <c r="P609" s="212"/>
      <c r="Q609" s="106" t="b">
        <f t="shared" si="42"/>
        <v>0</v>
      </c>
      <c r="R609" s="199">
        <f t="shared" si="39"/>
        <v>0</v>
      </c>
    </row>
    <row r="610" spans="1:18" x14ac:dyDescent="0.3">
      <c r="A610" s="124">
        <v>23</v>
      </c>
      <c r="B610" s="37" t="s">
        <v>1183</v>
      </c>
      <c r="C610" s="38">
        <v>8</v>
      </c>
      <c r="D610" s="125" t="s">
        <v>885</v>
      </c>
      <c r="E610" s="123" t="s">
        <v>1190</v>
      </c>
      <c r="F610" s="131"/>
      <c r="G610" s="128" t="s">
        <v>53</v>
      </c>
      <c r="H610" s="154" t="s">
        <v>995</v>
      </c>
      <c r="I610" s="155" t="s">
        <v>1197</v>
      </c>
      <c r="J610" s="212"/>
      <c r="K610" s="212"/>
      <c r="L610" s="212"/>
      <c r="M610" s="224"/>
      <c r="N610" s="213"/>
      <c r="O610" s="213"/>
      <c r="P610" s="212"/>
      <c r="Q610" s="106" t="b">
        <f t="shared" si="42"/>
        <v>0</v>
      </c>
      <c r="R610" s="199">
        <f t="shared" si="39"/>
        <v>0</v>
      </c>
    </row>
    <row r="611" spans="1:18" x14ac:dyDescent="0.3">
      <c r="A611" s="124">
        <v>23</v>
      </c>
      <c r="B611" s="37" t="s">
        <v>1183</v>
      </c>
      <c r="C611" s="38">
        <v>9</v>
      </c>
      <c r="D611" s="125" t="s">
        <v>823</v>
      </c>
      <c r="E611" s="123" t="s">
        <v>1191</v>
      </c>
      <c r="F611" s="126" t="s">
        <v>52</v>
      </c>
      <c r="G611" s="131"/>
      <c r="H611" s="122" t="s">
        <v>995</v>
      </c>
      <c r="I611" s="123" t="s">
        <v>1197</v>
      </c>
      <c r="J611" s="212" t="s">
        <v>1383</v>
      </c>
      <c r="K611" s="212"/>
      <c r="L611" s="212"/>
      <c r="M611" s="213"/>
      <c r="N611" s="212" t="s">
        <v>1383</v>
      </c>
      <c r="O611" s="212"/>
      <c r="P611" s="212"/>
      <c r="Q611" s="106" t="b">
        <f t="shared" si="42"/>
        <v>1</v>
      </c>
      <c r="R611" s="199">
        <f t="shared" si="39"/>
        <v>2</v>
      </c>
    </row>
    <row r="612" spans="1:18" x14ac:dyDescent="0.3">
      <c r="A612" s="124">
        <v>23</v>
      </c>
      <c r="B612" s="37" t="s">
        <v>1183</v>
      </c>
      <c r="C612" s="38">
        <v>10</v>
      </c>
      <c r="D612" s="125" t="s">
        <v>1179</v>
      </c>
      <c r="E612" s="123" t="s">
        <v>1199</v>
      </c>
      <c r="F612" s="126" t="s">
        <v>52</v>
      </c>
      <c r="G612" s="131"/>
      <c r="H612" s="122" t="s">
        <v>995</v>
      </c>
      <c r="I612" s="123" t="s">
        <v>1197</v>
      </c>
      <c r="J612" s="212" t="s">
        <v>1383</v>
      </c>
      <c r="K612" s="212"/>
      <c r="L612" s="212" t="s">
        <v>1383</v>
      </c>
      <c r="M612" s="213"/>
      <c r="N612" s="212" t="s">
        <v>1383</v>
      </c>
      <c r="O612" s="212"/>
      <c r="P612" s="212"/>
      <c r="Q612" s="106" t="b">
        <f t="shared" si="42"/>
        <v>1</v>
      </c>
      <c r="R612" s="199">
        <f t="shared" si="39"/>
        <v>3</v>
      </c>
    </row>
    <row r="613" spans="1:18" x14ac:dyDescent="0.3">
      <c r="A613" s="124">
        <v>23</v>
      </c>
      <c r="B613" s="37" t="s">
        <v>1183</v>
      </c>
      <c r="C613" s="38">
        <v>11</v>
      </c>
      <c r="D613" s="125" t="s">
        <v>1180</v>
      </c>
      <c r="E613" s="123" t="s">
        <v>1192</v>
      </c>
      <c r="F613" s="131"/>
      <c r="G613" s="128" t="s">
        <v>53</v>
      </c>
      <c r="H613" s="154" t="s">
        <v>995</v>
      </c>
      <c r="I613" s="155" t="s">
        <v>1197</v>
      </c>
      <c r="J613" s="212"/>
      <c r="K613" s="212"/>
      <c r="L613" s="212"/>
      <c r="M613" s="213"/>
      <c r="N613" s="213"/>
      <c r="O613" s="213"/>
      <c r="P613" s="212"/>
      <c r="Q613" s="106" t="b">
        <f t="shared" si="42"/>
        <v>0</v>
      </c>
      <c r="R613" s="199">
        <f t="shared" si="39"/>
        <v>0</v>
      </c>
    </row>
    <row r="614" spans="1:18" x14ac:dyDescent="0.3">
      <c r="A614" s="124">
        <v>23</v>
      </c>
      <c r="B614" s="37" t="s">
        <v>1183</v>
      </c>
      <c r="C614" s="38">
        <v>12</v>
      </c>
      <c r="D614" s="125" t="s">
        <v>995</v>
      </c>
      <c r="E614" s="123" t="s">
        <v>1193</v>
      </c>
      <c r="F614" s="126" t="s">
        <v>52</v>
      </c>
      <c r="G614" s="131"/>
      <c r="H614" s="122" t="s">
        <v>344</v>
      </c>
      <c r="I614" s="123" t="s">
        <v>345</v>
      </c>
      <c r="J614" s="212" t="s">
        <v>1383</v>
      </c>
      <c r="K614" s="212" t="s">
        <v>1383</v>
      </c>
      <c r="L614" s="212"/>
      <c r="M614" s="213"/>
      <c r="N614" s="212"/>
      <c r="O614" s="212"/>
      <c r="P614" s="212" t="s">
        <v>1383</v>
      </c>
      <c r="Q614" s="106" t="b">
        <f t="shared" si="42"/>
        <v>1</v>
      </c>
      <c r="R614" s="199">
        <f t="shared" si="39"/>
        <v>3</v>
      </c>
    </row>
    <row r="615" spans="1:18" x14ac:dyDescent="0.3">
      <c r="A615" s="124">
        <v>23</v>
      </c>
      <c r="B615" s="37" t="s">
        <v>1183</v>
      </c>
      <c r="C615" s="38">
        <v>13</v>
      </c>
      <c r="D615" s="125" t="s">
        <v>43</v>
      </c>
      <c r="E615" s="123" t="s">
        <v>1194</v>
      </c>
      <c r="F615" s="126" t="s">
        <v>52</v>
      </c>
      <c r="G615" s="131"/>
      <c r="H615" s="122" t="s">
        <v>344</v>
      </c>
      <c r="I615" s="123" t="s">
        <v>345</v>
      </c>
      <c r="J615" s="212" t="s">
        <v>1383</v>
      </c>
      <c r="K615" s="212" t="s">
        <v>1383</v>
      </c>
      <c r="L615" s="212"/>
      <c r="M615" s="213"/>
      <c r="N615" s="212" t="s">
        <v>1383</v>
      </c>
      <c r="O615" s="212"/>
      <c r="P615" s="212" t="s">
        <v>1383</v>
      </c>
      <c r="Q615" s="106" t="b">
        <f t="shared" si="42"/>
        <v>1</v>
      </c>
      <c r="R615" s="199">
        <f t="shared" si="39"/>
        <v>4</v>
      </c>
    </row>
    <row r="616" spans="1:18" x14ac:dyDescent="0.3">
      <c r="A616" s="124">
        <v>23</v>
      </c>
      <c r="B616" s="37" t="s">
        <v>1183</v>
      </c>
      <c r="C616" s="38">
        <v>14</v>
      </c>
      <c r="D616" s="125" t="s">
        <v>1181</v>
      </c>
      <c r="E616" s="123" t="s">
        <v>1195</v>
      </c>
      <c r="F616" s="126" t="s">
        <v>52</v>
      </c>
      <c r="G616" s="131"/>
      <c r="H616" s="122" t="s">
        <v>995</v>
      </c>
      <c r="I616" s="123" t="s">
        <v>1197</v>
      </c>
      <c r="J616" s="212" t="s">
        <v>1383</v>
      </c>
      <c r="K616" s="212"/>
      <c r="L616" s="212"/>
      <c r="M616" s="213"/>
      <c r="N616" s="213"/>
      <c r="O616" s="213"/>
      <c r="P616" s="212"/>
      <c r="Q616" s="106" t="b">
        <f t="shared" si="42"/>
        <v>1</v>
      </c>
      <c r="R616" s="199">
        <f t="shared" si="39"/>
        <v>1</v>
      </c>
    </row>
    <row r="617" spans="1:18" ht="19.5" thickBot="1" x14ac:dyDescent="0.35">
      <c r="A617" s="132">
        <v>23</v>
      </c>
      <c r="B617" s="39" t="s">
        <v>1183</v>
      </c>
      <c r="C617" s="45">
        <v>15</v>
      </c>
      <c r="D617" s="156" t="s">
        <v>1182</v>
      </c>
      <c r="E617" s="159" t="s">
        <v>1196</v>
      </c>
      <c r="F617" s="157" t="s">
        <v>52</v>
      </c>
      <c r="G617" s="174"/>
      <c r="H617" s="158" t="s">
        <v>995</v>
      </c>
      <c r="I617" s="159" t="s">
        <v>1197</v>
      </c>
      <c r="J617" s="221" t="s">
        <v>1383</v>
      </c>
      <c r="K617" s="221"/>
      <c r="L617" s="221"/>
      <c r="M617" s="222"/>
      <c r="N617" s="222"/>
      <c r="O617" s="222"/>
      <c r="P617" s="221"/>
      <c r="Q617" s="244" t="b">
        <f t="shared" si="42"/>
        <v>1</v>
      </c>
      <c r="R617" s="202">
        <f t="shared" si="39"/>
        <v>1</v>
      </c>
    </row>
    <row r="618" spans="1:18" ht="19.5" hidden="1" thickBot="1" x14ac:dyDescent="0.3">
      <c r="A618" s="137">
        <f>A617</f>
        <v>23</v>
      </c>
      <c r="B618" s="138" t="str">
        <f>B617</f>
        <v>TABINA</v>
      </c>
      <c r="C618" s="15">
        <f>COUNTA(C603:C617)</f>
        <v>15</v>
      </c>
      <c r="D618" s="139" t="s">
        <v>1</v>
      </c>
      <c r="E618" s="139" t="s">
        <v>1374</v>
      </c>
      <c r="F618" s="15">
        <f>COUNTA(F603:F617)</f>
        <v>11</v>
      </c>
      <c r="G618" s="15">
        <f>COUNTA(G603:G617)</f>
        <v>4</v>
      </c>
      <c r="H618" s="291" t="s">
        <v>3</v>
      </c>
      <c r="I618" s="292"/>
      <c r="J618" s="61">
        <f t="shared" ref="J618:P618" si="44">COUNTA(J603:J617)</f>
        <v>9</v>
      </c>
      <c r="K618" s="15">
        <f t="shared" si="44"/>
        <v>3</v>
      </c>
      <c r="L618" s="15">
        <f t="shared" si="44"/>
        <v>1</v>
      </c>
      <c r="M618" s="15">
        <f t="shared" si="44"/>
        <v>0</v>
      </c>
      <c r="N618" s="15">
        <f t="shared" si="44"/>
        <v>5</v>
      </c>
      <c r="O618" s="15">
        <f t="shared" si="44"/>
        <v>0</v>
      </c>
      <c r="P618" s="15">
        <f t="shared" si="44"/>
        <v>4</v>
      </c>
      <c r="Q618" s="22">
        <f>COUNTIF(Q603:Q617,TRUE)</f>
        <v>9</v>
      </c>
      <c r="R618" s="249">
        <f>SUM(J618:P618)</f>
        <v>22</v>
      </c>
    </row>
    <row r="619" spans="1:18" x14ac:dyDescent="0.3">
      <c r="A619" s="140">
        <v>24</v>
      </c>
      <c r="B619" s="36" t="s">
        <v>1224</v>
      </c>
      <c r="C619" s="46">
        <v>1</v>
      </c>
      <c r="D619" s="166" t="s">
        <v>1200</v>
      </c>
      <c r="E619" s="144" t="s">
        <v>1225</v>
      </c>
      <c r="F619" s="121" t="s">
        <v>52</v>
      </c>
      <c r="G619" s="165"/>
      <c r="H619" s="142" t="s">
        <v>170</v>
      </c>
      <c r="I619" s="144" t="s">
        <v>265</v>
      </c>
      <c r="J619" s="209" t="s">
        <v>1383</v>
      </c>
      <c r="K619" s="209"/>
      <c r="L619" s="209"/>
      <c r="M619" s="210"/>
      <c r="N619" s="210"/>
      <c r="O619" s="210"/>
      <c r="P619" s="209"/>
      <c r="Q619" s="106" t="b">
        <f t="shared" si="42"/>
        <v>1</v>
      </c>
      <c r="R619" s="196">
        <f t="shared" si="39"/>
        <v>1</v>
      </c>
    </row>
    <row r="620" spans="1:18" x14ac:dyDescent="0.3">
      <c r="A620" s="124">
        <v>24</v>
      </c>
      <c r="B620" s="37" t="s">
        <v>1224</v>
      </c>
      <c r="C620" s="38">
        <v>2</v>
      </c>
      <c r="D620" s="125" t="s">
        <v>1201</v>
      </c>
      <c r="E620" s="123" t="s">
        <v>1226</v>
      </c>
      <c r="F620" s="126" t="s">
        <v>52</v>
      </c>
      <c r="G620" s="131"/>
      <c r="H620" s="122" t="s">
        <v>267</v>
      </c>
      <c r="I620" s="123" t="s">
        <v>1024</v>
      </c>
      <c r="J620" s="212"/>
      <c r="K620" s="212"/>
      <c r="L620" s="212"/>
      <c r="M620" s="213"/>
      <c r="N620" s="213"/>
      <c r="O620" s="213"/>
      <c r="P620" s="212"/>
      <c r="Q620" s="106" t="b">
        <f t="shared" si="42"/>
        <v>0</v>
      </c>
      <c r="R620" s="199">
        <f t="shared" si="39"/>
        <v>0</v>
      </c>
    </row>
    <row r="621" spans="1:18" x14ac:dyDescent="0.3">
      <c r="A621" s="124">
        <v>24</v>
      </c>
      <c r="B621" s="37" t="s">
        <v>1224</v>
      </c>
      <c r="C621" s="38">
        <v>3</v>
      </c>
      <c r="D621" s="125" t="s">
        <v>172</v>
      </c>
      <c r="E621" s="123" t="s">
        <v>1227</v>
      </c>
      <c r="F621" s="126" t="s">
        <v>52</v>
      </c>
      <c r="G621" s="131"/>
      <c r="H621" s="122" t="s">
        <v>262</v>
      </c>
      <c r="I621" s="123" t="s">
        <v>1291</v>
      </c>
      <c r="J621" s="212" t="s">
        <v>1383</v>
      </c>
      <c r="K621" s="212"/>
      <c r="L621" s="212" t="s">
        <v>1383</v>
      </c>
      <c r="M621" s="213"/>
      <c r="N621" s="213"/>
      <c r="O621" s="213"/>
      <c r="P621" s="212"/>
      <c r="Q621" s="106" t="b">
        <f t="shared" si="42"/>
        <v>1</v>
      </c>
      <c r="R621" s="199">
        <f t="shared" si="39"/>
        <v>2</v>
      </c>
    </row>
    <row r="622" spans="1:18" x14ac:dyDescent="0.3">
      <c r="A622" s="124">
        <v>24</v>
      </c>
      <c r="B622" s="37" t="s">
        <v>1224</v>
      </c>
      <c r="C622" s="38">
        <v>4</v>
      </c>
      <c r="D622" s="125" t="s">
        <v>1202</v>
      </c>
      <c r="E622" s="123" t="s">
        <v>1228</v>
      </c>
      <c r="F622" s="126" t="s">
        <v>52</v>
      </c>
      <c r="G622" s="131"/>
      <c r="H622" s="122" t="s">
        <v>262</v>
      </c>
      <c r="I622" s="123" t="s">
        <v>1291</v>
      </c>
      <c r="J622" s="212"/>
      <c r="K622" s="212"/>
      <c r="L622" s="212"/>
      <c r="M622" s="213"/>
      <c r="N622" s="213"/>
      <c r="O622" s="213"/>
      <c r="P622" s="212"/>
      <c r="Q622" s="106" t="b">
        <f t="shared" si="42"/>
        <v>0</v>
      </c>
      <c r="R622" s="199">
        <f t="shared" si="39"/>
        <v>0</v>
      </c>
    </row>
    <row r="623" spans="1:18" x14ac:dyDescent="0.3">
      <c r="A623" s="124">
        <v>24</v>
      </c>
      <c r="B623" s="37" t="s">
        <v>1224</v>
      </c>
      <c r="C623" s="38">
        <v>5</v>
      </c>
      <c r="D623" s="125" t="s">
        <v>1203</v>
      </c>
      <c r="E623" s="123" t="s">
        <v>1229</v>
      </c>
      <c r="F623" s="126" t="s">
        <v>52</v>
      </c>
      <c r="G623" s="131"/>
      <c r="H623" s="122" t="s">
        <v>314</v>
      </c>
      <c r="I623" s="123" t="s">
        <v>1050</v>
      </c>
      <c r="J623" s="212" t="s">
        <v>1383</v>
      </c>
      <c r="K623" s="212"/>
      <c r="L623" s="212"/>
      <c r="M623" s="213"/>
      <c r="N623" s="213"/>
      <c r="O623" s="213"/>
      <c r="P623" s="212"/>
      <c r="Q623" s="106" t="b">
        <f t="shared" si="42"/>
        <v>1</v>
      </c>
      <c r="R623" s="199">
        <f t="shared" si="39"/>
        <v>1</v>
      </c>
    </row>
    <row r="624" spans="1:18" x14ac:dyDescent="0.3">
      <c r="A624" s="124">
        <v>24</v>
      </c>
      <c r="B624" s="37" t="s">
        <v>1224</v>
      </c>
      <c r="C624" s="38">
        <v>6</v>
      </c>
      <c r="D624" s="125" t="s">
        <v>1204</v>
      </c>
      <c r="E624" s="123" t="s">
        <v>1230</v>
      </c>
      <c r="F624" s="126" t="s">
        <v>52</v>
      </c>
      <c r="G624" s="131"/>
      <c r="H624" s="122" t="s">
        <v>267</v>
      </c>
      <c r="I624" s="123" t="s">
        <v>1024</v>
      </c>
      <c r="J624" s="212" t="s">
        <v>1383</v>
      </c>
      <c r="K624" s="212"/>
      <c r="L624" s="212"/>
      <c r="M624" s="213"/>
      <c r="N624" s="213"/>
      <c r="O624" s="213"/>
      <c r="P624" s="212"/>
      <c r="Q624" s="106" t="b">
        <f t="shared" si="42"/>
        <v>1</v>
      </c>
      <c r="R624" s="199">
        <f t="shared" si="39"/>
        <v>1</v>
      </c>
    </row>
    <row r="625" spans="1:18" x14ac:dyDescent="0.3">
      <c r="A625" s="124">
        <v>24</v>
      </c>
      <c r="B625" s="37" t="s">
        <v>1224</v>
      </c>
      <c r="C625" s="38">
        <v>7</v>
      </c>
      <c r="D625" s="125" t="s">
        <v>1205</v>
      </c>
      <c r="E625" s="123" t="s">
        <v>1231</v>
      </c>
      <c r="F625" s="126" t="s">
        <v>52</v>
      </c>
      <c r="G625" s="131"/>
      <c r="H625" s="122" t="s">
        <v>314</v>
      </c>
      <c r="I625" s="123" t="s">
        <v>1050</v>
      </c>
      <c r="J625" s="212" t="s">
        <v>1383</v>
      </c>
      <c r="K625" s="212"/>
      <c r="L625" s="212"/>
      <c r="M625" s="213"/>
      <c r="N625" s="213"/>
      <c r="O625" s="213"/>
      <c r="P625" s="212"/>
      <c r="Q625" s="106" t="b">
        <f t="shared" si="42"/>
        <v>1</v>
      </c>
      <c r="R625" s="199">
        <f t="shared" si="39"/>
        <v>1</v>
      </c>
    </row>
    <row r="626" spans="1:18" x14ac:dyDescent="0.3">
      <c r="A626" s="124">
        <v>24</v>
      </c>
      <c r="B626" s="37" t="s">
        <v>1224</v>
      </c>
      <c r="C626" s="38">
        <v>8</v>
      </c>
      <c r="D626" s="125" t="s">
        <v>72</v>
      </c>
      <c r="E626" s="123" t="s">
        <v>1232</v>
      </c>
      <c r="F626" s="126" t="s">
        <v>52</v>
      </c>
      <c r="G626" s="131"/>
      <c r="H626" s="122" t="s">
        <v>267</v>
      </c>
      <c r="I626" s="123" t="s">
        <v>1024</v>
      </c>
      <c r="J626" s="212"/>
      <c r="K626" s="212"/>
      <c r="L626" s="212"/>
      <c r="M626" s="213"/>
      <c r="N626" s="213"/>
      <c r="O626" s="213"/>
      <c r="P626" s="212"/>
      <c r="Q626" s="106" t="b">
        <f t="shared" si="42"/>
        <v>0</v>
      </c>
      <c r="R626" s="199">
        <f t="shared" si="39"/>
        <v>0</v>
      </c>
    </row>
    <row r="627" spans="1:18" x14ac:dyDescent="0.3">
      <c r="A627" s="124">
        <v>24</v>
      </c>
      <c r="B627" s="37" t="s">
        <v>1224</v>
      </c>
      <c r="C627" s="38">
        <v>9</v>
      </c>
      <c r="D627" s="125" t="s">
        <v>1206</v>
      </c>
      <c r="E627" s="123" t="s">
        <v>1233</v>
      </c>
      <c r="F627" s="126" t="s">
        <v>52</v>
      </c>
      <c r="G627" s="131"/>
      <c r="H627" s="122" t="s">
        <v>314</v>
      </c>
      <c r="I627" s="123" t="s">
        <v>1050</v>
      </c>
      <c r="J627" s="212" t="s">
        <v>1383</v>
      </c>
      <c r="K627" s="212"/>
      <c r="L627" s="212"/>
      <c r="M627" s="213"/>
      <c r="N627" s="213"/>
      <c r="O627" s="213"/>
      <c r="P627" s="212"/>
      <c r="Q627" s="106" t="b">
        <f t="shared" si="42"/>
        <v>1</v>
      </c>
      <c r="R627" s="199">
        <f t="shared" si="39"/>
        <v>1</v>
      </c>
    </row>
    <row r="628" spans="1:18" x14ac:dyDescent="0.3">
      <c r="A628" s="124">
        <v>24</v>
      </c>
      <c r="B628" s="37" t="s">
        <v>1224</v>
      </c>
      <c r="C628" s="38">
        <v>10</v>
      </c>
      <c r="D628" s="125" t="s">
        <v>1207</v>
      </c>
      <c r="E628" s="123" t="s">
        <v>1234</v>
      </c>
      <c r="F628" s="126" t="s">
        <v>52</v>
      </c>
      <c r="G628" s="131"/>
      <c r="H628" s="122" t="s">
        <v>314</v>
      </c>
      <c r="I628" s="123" t="s">
        <v>1050</v>
      </c>
      <c r="J628" s="212"/>
      <c r="K628" s="212"/>
      <c r="L628" s="212"/>
      <c r="M628" s="213"/>
      <c r="N628" s="213"/>
      <c r="O628" s="213"/>
      <c r="P628" s="212"/>
      <c r="Q628" s="106" t="b">
        <f t="shared" si="42"/>
        <v>0</v>
      </c>
      <c r="R628" s="199">
        <f t="shared" si="39"/>
        <v>0</v>
      </c>
    </row>
    <row r="629" spans="1:18" x14ac:dyDescent="0.3">
      <c r="A629" s="124">
        <v>24</v>
      </c>
      <c r="B629" s="37" t="s">
        <v>1224</v>
      </c>
      <c r="C629" s="38">
        <v>11</v>
      </c>
      <c r="D629" s="125" t="s">
        <v>1208</v>
      </c>
      <c r="E629" s="123" t="s">
        <v>1235</v>
      </c>
      <c r="F629" s="126" t="s">
        <v>52</v>
      </c>
      <c r="G629" s="131"/>
      <c r="H629" s="122" t="s">
        <v>267</v>
      </c>
      <c r="I629" s="123" t="s">
        <v>1024</v>
      </c>
      <c r="J629" s="212" t="s">
        <v>1383</v>
      </c>
      <c r="K629" s="212"/>
      <c r="L629" s="212"/>
      <c r="M629" s="213"/>
      <c r="N629" s="213"/>
      <c r="O629" s="213"/>
      <c r="P629" s="212"/>
      <c r="Q629" s="106" t="b">
        <f t="shared" si="42"/>
        <v>1</v>
      </c>
      <c r="R629" s="199">
        <f t="shared" si="39"/>
        <v>1</v>
      </c>
    </row>
    <row r="630" spans="1:18" x14ac:dyDescent="0.3">
      <c r="A630" s="124">
        <v>24</v>
      </c>
      <c r="B630" s="37" t="s">
        <v>1224</v>
      </c>
      <c r="C630" s="38">
        <v>12</v>
      </c>
      <c r="D630" s="125" t="s">
        <v>1209</v>
      </c>
      <c r="E630" s="123" t="s">
        <v>1236</v>
      </c>
      <c r="F630" s="126" t="s">
        <v>52</v>
      </c>
      <c r="G630" s="131"/>
      <c r="H630" s="122" t="s">
        <v>262</v>
      </c>
      <c r="I630" s="123" t="s">
        <v>1291</v>
      </c>
      <c r="J630" s="212" t="s">
        <v>1383</v>
      </c>
      <c r="K630" s="212"/>
      <c r="L630" s="212"/>
      <c r="M630" s="213"/>
      <c r="N630" s="213"/>
      <c r="O630" s="213"/>
      <c r="P630" s="212"/>
      <c r="Q630" s="106" t="b">
        <f t="shared" si="42"/>
        <v>1</v>
      </c>
      <c r="R630" s="199">
        <f t="shared" si="39"/>
        <v>1</v>
      </c>
    </row>
    <row r="631" spans="1:18" x14ac:dyDescent="0.3">
      <c r="A631" s="124">
        <v>24</v>
      </c>
      <c r="B631" s="37" t="s">
        <v>1224</v>
      </c>
      <c r="C631" s="38">
        <v>13</v>
      </c>
      <c r="D631" s="125" t="s">
        <v>1210</v>
      </c>
      <c r="E631" s="123" t="s">
        <v>1237</v>
      </c>
      <c r="F631" s="126" t="s">
        <v>52</v>
      </c>
      <c r="G631" s="131"/>
      <c r="H631" s="122" t="s">
        <v>267</v>
      </c>
      <c r="I631" s="123" t="s">
        <v>1024</v>
      </c>
      <c r="J631" s="212"/>
      <c r="K631" s="212"/>
      <c r="L631" s="212"/>
      <c r="M631" s="213"/>
      <c r="N631" s="213"/>
      <c r="O631" s="213"/>
      <c r="P631" s="212"/>
      <c r="Q631" s="106" t="b">
        <f t="shared" si="42"/>
        <v>0</v>
      </c>
      <c r="R631" s="199">
        <f t="shared" si="39"/>
        <v>0</v>
      </c>
    </row>
    <row r="632" spans="1:18" x14ac:dyDescent="0.3">
      <c r="A632" s="124">
        <v>24</v>
      </c>
      <c r="B632" s="37" t="s">
        <v>1224</v>
      </c>
      <c r="C632" s="38">
        <v>14</v>
      </c>
      <c r="D632" s="125" t="s">
        <v>1211</v>
      </c>
      <c r="E632" s="123" t="s">
        <v>1238</v>
      </c>
      <c r="F632" s="126" t="s">
        <v>52</v>
      </c>
      <c r="G632" s="131"/>
      <c r="H632" s="122" t="s">
        <v>267</v>
      </c>
      <c r="I632" s="123" t="s">
        <v>1024</v>
      </c>
      <c r="J632" s="212"/>
      <c r="K632" s="212"/>
      <c r="L632" s="212"/>
      <c r="M632" s="213"/>
      <c r="N632" s="213"/>
      <c r="O632" s="213"/>
      <c r="P632" s="212"/>
      <c r="Q632" s="106" t="b">
        <f t="shared" si="42"/>
        <v>0</v>
      </c>
      <c r="R632" s="199">
        <f t="shared" si="39"/>
        <v>0</v>
      </c>
    </row>
    <row r="633" spans="1:18" x14ac:dyDescent="0.3">
      <c r="A633" s="124">
        <v>24</v>
      </c>
      <c r="B633" s="37" t="s">
        <v>1224</v>
      </c>
      <c r="C633" s="38">
        <v>15</v>
      </c>
      <c r="D633" s="125" t="s">
        <v>1376</v>
      </c>
      <c r="E633" s="123" t="s">
        <v>1239</v>
      </c>
      <c r="F633" s="126" t="s">
        <v>52</v>
      </c>
      <c r="G633" s="131"/>
      <c r="H633" s="122" t="s">
        <v>267</v>
      </c>
      <c r="I633" s="123" t="s">
        <v>1024</v>
      </c>
      <c r="J633" s="212" t="s">
        <v>1383</v>
      </c>
      <c r="K633" s="212" t="s">
        <v>1383</v>
      </c>
      <c r="L633" s="212"/>
      <c r="M633" s="213"/>
      <c r="N633" s="213"/>
      <c r="O633" s="213"/>
      <c r="P633" s="212"/>
      <c r="Q633" s="106" t="b">
        <f t="shared" si="42"/>
        <v>1</v>
      </c>
      <c r="R633" s="199">
        <f t="shared" si="39"/>
        <v>2</v>
      </c>
    </row>
    <row r="634" spans="1:18" x14ac:dyDescent="0.3">
      <c r="A634" s="124">
        <v>24</v>
      </c>
      <c r="B634" s="37" t="s">
        <v>1224</v>
      </c>
      <c r="C634" s="38">
        <v>16</v>
      </c>
      <c r="D634" s="125" t="s">
        <v>1212</v>
      </c>
      <c r="E634" s="123" t="s">
        <v>1240</v>
      </c>
      <c r="F634" s="126" t="s">
        <v>52</v>
      </c>
      <c r="G634" s="131"/>
      <c r="H634" s="122" t="s">
        <v>267</v>
      </c>
      <c r="I634" s="123" t="s">
        <v>1024</v>
      </c>
      <c r="J634" s="212"/>
      <c r="K634" s="212"/>
      <c r="L634" s="212"/>
      <c r="M634" s="213"/>
      <c r="N634" s="213"/>
      <c r="O634" s="213"/>
      <c r="P634" s="212"/>
      <c r="Q634" s="106" t="b">
        <f t="shared" si="42"/>
        <v>0</v>
      </c>
      <c r="R634" s="199">
        <f t="shared" si="39"/>
        <v>0</v>
      </c>
    </row>
    <row r="635" spans="1:18" x14ac:dyDescent="0.3">
      <c r="A635" s="124">
        <v>24</v>
      </c>
      <c r="B635" s="37" t="s">
        <v>1224</v>
      </c>
      <c r="C635" s="38">
        <v>17</v>
      </c>
      <c r="D635" s="125" t="s">
        <v>1213</v>
      </c>
      <c r="E635" s="123" t="s">
        <v>1241</v>
      </c>
      <c r="F635" s="126" t="s">
        <v>52</v>
      </c>
      <c r="G635" s="131"/>
      <c r="H635" s="122" t="s">
        <v>314</v>
      </c>
      <c r="I635" s="123" t="s">
        <v>1050</v>
      </c>
      <c r="J635" s="212" t="s">
        <v>1383</v>
      </c>
      <c r="K635" s="212"/>
      <c r="L635" s="212"/>
      <c r="M635" s="213"/>
      <c r="N635" s="213"/>
      <c r="O635" s="213"/>
      <c r="P635" s="212"/>
      <c r="Q635" s="106" t="b">
        <f t="shared" si="42"/>
        <v>1</v>
      </c>
      <c r="R635" s="199">
        <f t="shared" si="39"/>
        <v>1</v>
      </c>
    </row>
    <row r="636" spans="1:18" x14ac:dyDescent="0.3">
      <c r="A636" s="124">
        <v>24</v>
      </c>
      <c r="B636" s="37" t="s">
        <v>1224</v>
      </c>
      <c r="C636" s="38">
        <v>18</v>
      </c>
      <c r="D636" s="125" t="s">
        <v>1214</v>
      </c>
      <c r="E636" s="123" t="s">
        <v>1242</v>
      </c>
      <c r="F636" s="126" t="s">
        <v>52</v>
      </c>
      <c r="G636" s="131"/>
      <c r="H636" s="122" t="s">
        <v>314</v>
      </c>
      <c r="I636" s="123" t="s">
        <v>1050</v>
      </c>
      <c r="J636" s="212" t="s">
        <v>1383</v>
      </c>
      <c r="K636" s="212"/>
      <c r="L636" s="212"/>
      <c r="M636" s="213"/>
      <c r="N636" s="213"/>
      <c r="O636" s="213"/>
      <c r="P636" s="212"/>
      <c r="Q636" s="106" t="b">
        <f t="shared" si="42"/>
        <v>1</v>
      </c>
      <c r="R636" s="199">
        <f t="shared" si="39"/>
        <v>1</v>
      </c>
    </row>
    <row r="637" spans="1:18" x14ac:dyDescent="0.3">
      <c r="A637" s="124">
        <v>24</v>
      </c>
      <c r="B637" s="37" t="s">
        <v>1224</v>
      </c>
      <c r="C637" s="38">
        <v>19</v>
      </c>
      <c r="D637" s="125" t="s">
        <v>1215</v>
      </c>
      <c r="E637" s="123" t="s">
        <v>1243</v>
      </c>
      <c r="F637" s="126" t="s">
        <v>52</v>
      </c>
      <c r="G637" s="131"/>
      <c r="H637" s="122" t="s">
        <v>267</v>
      </c>
      <c r="I637" s="123" t="s">
        <v>1024</v>
      </c>
      <c r="J637" s="212"/>
      <c r="K637" s="212"/>
      <c r="L637" s="212"/>
      <c r="M637" s="213"/>
      <c r="N637" s="213"/>
      <c r="O637" s="213"/>
      <c r="P637" s="212"/>
      <c r="Q637" s="106" t="b">
        <f t="shared" si="42"/>
        <v>0</v>
      </c>
      <c r="R637" s="199">
        <f t="shared" si="39"/>
        <v>0</v>
      </c>
    </row>
    <row r="638" spans="1:18" x14ac:dyDescent="0.3">
      <c r="A638" s="124">
        <v>24</v>
      </c>
      <c r="B638" s="37" t="s">
        <v>1224</v>
      </c>
      <c r="C638" s="38">
        <v>20</v>
      </c>
      <c r="D638" s="125" t="s">
        <v>1216</v>
      </c>
      <c r="E638" s="123" t="s">
        <v>1244</v>
      </c>
      <c r="F638" s="126" t="s">
        <v>52</v>
      </c>
      <c r="G638" s="131"/>
      <c r="H638" s="122" t="s">
        <v>267</v>
      </c>
      <c r="I638" s="123" t="s">
        <v>1024</v>
      </c>
      <c r="J638" s="212" t="s">
        <v>1383</v>
      </c>
      <c r="K638" s="212"/>
      <c r="L638" s="212"/>
      <c r="M638" s="213"/>
      <c r="N638" s="213"/>
      <c r="O638" s="213"/>
      <c r="P638" s="212"/>
      <c r="Q638" s="106" t="b">
        <f t="shared" si="42"/>
        <v>1</v>
      </c>
      <c r="R638" s="199">
        <f t="shared" si="39"/>
        <v>1</v>
      </c>
    </row>
    <row r="639" spans="1:18" x14ac:dyDescent="0.3">
      <c r="A639" s="124">
        <v>24</v>
      </c>
      <c r="B639" s="37" t="s">
        <v>1224</v>
      </c>
      <c r="C639" s="38">
        <v>21</v>
      </c>
      <c r="D639" s="125" t="s">
        <v>1217</v>
      </c>
      <c r="E639" s="123" t="s">
        <v>1245</v>
      </c>
      <c r="F639" s="126" t="s">
        <v>52</v>
      </c>
      <c r="G639" s="131"/>
      <c r="H639" s="122" t="s">
        <v>267</v>
      </c>
      <c r="I639" s="123" t="s">
        <v>1024</v>
      </c>
      <c r="J639" s="212" t="s">
        <v>1383</v>
      </c>
      <c r="K639" s="212" t="s">
        <v>1383</v>
      </c>
      <c r="L639" s="212"/>
      <c r="M639" s="213"/>
      <c r="N639" s="213"/>
      <c r="O639" s="213"/>
      <c r="P639" s="212"/>
      <c r="Q639" s="106" t="b">
        <f t="shared" si="42"/>
        <v>1</v>
      </c>
      <c r="R639" s="199">
        <f t="shared" si="39"/>
        <v>2</v>
      </c>
    </row>
    <row r="640" spans="1:18" x14ac:dyDescent="0.3">
      <c r="A640" s="124">
        <v>24</v>
      </c>
      <c r="B640" s="37" t="s">
        <v>1224</v>
      </c>
      <c r="C640" s="38">
        <v>22</v>
      </c>
      <c r="D640" s="125" t="s">
        <v>1218</v>
      </c>
      <c r="E640" s="123" t="s">
        <v>1246</v>
      </c>
      <c r="F640" s="126" t="s">
        <v>52</v>
      </c>
      <c r="G640" s="131"/>
      <c r="H640" s="122" t="s">
        <v>267</v>
      </c>
      <c r="I640" s="123" t="s">
        <v>1024</v>
      </c>
      <c r="J640" s="212" t="s">
        <v>1383</v>
      </c>
      <c r="K640" s="212"/>
      <c r="L640" s="212"/>
      <c r="M640" s="213"/>
      <c r="N640" s="213"/>
      <c r="O640" s="213" t="s">
        <v>1383</v>
      </c>
      <c r="P640" s="212"/>
      <c r="Q640" s="106" t="b">
        <f t="shared" si="42"/>
        <v>1</v>
      </c>
      <c r="R640" s="199">
        <f t="shared" si="39"/>
        <v>2</v>
      </c>
    </row>
    <row r="641" spans="1:18" x14ac:dyDescent="0.3">
      <c r="A641" s="124">
        <v>24</v>
      </c>
      <c r="B641" s="37" t="s">
        <v>1224</v>
      </c>
      <c r="C641" s="38">
        <v>23</v>
      </c>
      <c r="D641" s="125" t="s">
        <v>1219</v>
      </c>
      <c r="E641" s="123" t="s">
        <v>1247</v>
      </c>
      <c r="F641" s="126" t="s">
        <v>52</v>
      </c>
      <c r="G641" s="131"/>
      <c r="H641" s="122" t="s">
        <v>314</v>
      </c>
      <c r="I641" s="123" t="s">
        <v>1050</v>
      </c>
      <c r="J641" s="212"/>
      <c r="K641" s="212" t="s">
        <v>1383</v>
      </c>
      <c r="L641" s="212"/>
      <c r="M641" s="213"/>
      <c r="N641" s="213"/>
      <c r="O641" s="213"/>
      <c r="P641" s="212"/>
      <c r="Q641" s="106" t="b">
        <f t="shared" si="42"/>
        <v>1</v>
      </c>
      <c r="R641" s="199">
        <f t="shared" si="39"/>
        <v>1</v>
      </c>
    </row>
    <row r="642" spans="1:18" x14ac:dyDescent="0.3">
      <c r="A642" s="124">
        <v>24</v>
      </c>
      <c r="B642" s="37" t="s">
        <v>1224</v>
      </c>
      <c r="C642" s="38">
        <v>24</v>
      </c>
      <c r="D642" s="125" t="s">
        <v>46</v>
      </c>
      <c r="E642" s="123" t="s">
        <v>1248</v>
      </c>
      <c r="F642" s="126" t="s">
        <v>52</v>
      </c>
      <c r="G642" s="131"/>
      <c r="H642" s="122" t="s">
        <v>314</v>
      </c>
      <c r="I642" s="123" t="s">
        <v>1050</v>
      </c>
      <c r="J642" s="212" t="s">
        <v>1383</v>
      </c>
      <c r="K642" s="212"/>
      <c r="L642" s="212"/>
      <c r="M642" s="213"/>
      <c r="N642" s="213"/>
      <c r="O642" s="213"/>
      <c r="P642" s="212"/>
      <c r="Q642" s="106" t="b">
        <f t="shared" si="42"/>
        <v>1</v>
      </c>
      <c r="R642" s="199">
        <f t="shared" si="39"/>
        <v>1</v>
      </c>
    </row>
    <row r="643" spans="1:18" x14ac:dyDescent="0.3">
      <c r="A643" s="124">
        <v>24</v>
      </c>
      <c r="B643" s="37" t="s">
        <v>1224</v>
      </c>
      <c r="C643" s="38">
        <v>25</v>
      </c>
      <c r="D643" s="125" t="s">
        <v>202</v>
      </c>
      <c r="E643" s="123" t="s">
        <v>1249</v>
      </c>
      <c r="F643" s="126" t="s">
        <v>52</v>
      </c>
      <c r="G643" s="131"/>
      <c r="H643" s="122" t="s">
        <v>314</v>
      </c>
      <c r="I643" s="123" t="s">
        <v>1050</v>
      </c>
      <c r="J643" s="212" t="s">
        <v>1383</v>
      </c>
      <c r="K643" s="212" t="s">
        <v>1383</v>
      </c>
      <c r="L643" s="212"/>
      <c r="M643" s="213"/>
      <c r="N643" s="213"/>
      <c r="O643" s="213"/>
      <c r="P643" s="212"/>
      <c r="Q643" s="106" t="b">
        <f t="shared" si="42"/>
        <v>1</v>
      </c>
      <c r="R643" s="199">
        <f t="shared" si="39"/>
        <v>2</v>
      </c>
    </row>
    <row r="644" spans="1:18" x14ac:dyDescent="0.3">
      <c r="A644" s="124">
        <v>24</v>
      </c>
      <c r="B644" s="37" t="s">
        <v>1224</v>
      </c>
      <c r="C644" s="38">
        <v>26</v>
      </c>
      <c r="D644" s="125" t="s">
        <v>1220</v>
      </c>
      <c r="E644" s="123" t="s">
        <v>1250</v>
      </c>
      <c r="F644" s="126" t="s">
        <v>52</v>
      </c>
      <c r="G644" s="131"/>
      <c r="H644" s="122" t="s">
        <v>267</v>
      </c>
      <c r="I644" s="123" t="s">
        <v>1024</v>
      </c>
      <c r="J644" s="212" t="s">
        <v>1383</v>
      </c>
      <c r="K644" s="212"/>
      <c r="L644" s="212"/>
      <c r="M644" s="213"/>
      <c r="N644" s="213"/>
      <c r="O644" s="213"/>
      <c r="P644" s="212"/>
      <c r="Q644" s="106" t="b">
        <f t="shared" si="42"/>
        <v>1</v>
      </c>
      <c r="R644" s="199">
        <f t="shared" ref="R644:R707" si="45">COUNTA(J644:P644)</f>
        <v>1</v>
      </c>
    </row>
    <row r="645" spans="1:18" x14ac:dyDescent="0.3">
      <c r="A645" s="124">
        <v>24</v>
      </c>
      <c r="B645" s="37" t="s">
        <v>1224</v>
      </c>
      <c r="C645" s="38">
        <v>27</v>
      </c>
      <c r="D645" s="125" t="s">
        <v>775</v>
      </c>
      <c r="E645" s="123" t="s">
        <v>1251</v>
      </c>
      <c r="F645" s="126" t="s">
        <v>52</v>
      </c>
      <c r="G645" s="131"/>
      <c r="H645" s="122" t="s">
        <v>267</v>
      </c>
      <c r="I645" s="123" t="s">
        <v>1024</v>
      </c>
      <c r="J645" s="212" t="s">
        <v>1383</v>
      </c>
      <c r="K645" s="212" t="s">
        <v>1383</v>
      </c>
      <c r="L645" s="212"/>
      <c r="M645" s="213"/>
      <c r="N645" s="213"/>
      <c r="O645" s="213"/>
      <c r="P645" s="212"/>
      <c r="Q645" s="106" t="b">
        <f t="shared" si="42"/>
        <v>1</v>
      </c>
      <c r="R645" s="199">
        <f t="shared" si="45"/>
        <v>2</v>
      </c>
    </row>
    <row r="646" spans="1:18" x14ac:dyDescent="0.3">
      <c r="A646" s="124">
        <v>24</v>
      </c>
      <c r="B646" s="37" t="s">
        <v>1224</v>
      </c>
      <c r="C646" s="38">
        <v>28</v>
      </c>
      <c r="D646" s="125" t="s">
        <v>1148</v>
      </c>
      <c r="E646" s="123" t="s">
        <v>1252</v>
      </c>
      <c r="F646" s="126" t="s">
        <v>52</v>
      </c>
      <c r="G646" s="131"/>
      <c r="H646" s="122" t="s">
        <v>314</v>
      </c>
      <c r="I646" s="123" t="s">
        <v>1050</v>
      </c>
      <c r="J646" s="212" t="s">
        <v>1383</v>
      </c>
      <c r="K646" s="212"/>
      <c r="L646" s="212"/>
      <c r="M646" s="213"/>
      <c r="N646" s="213"/>
      <c r="O646" s="213"/>
      <c r="P646" s="212"/>
      <c r="Q646" s="106" t="b">
        <f t="shared" si="42"/>
        <v>1</v>
      </c>
      <c r="R646" s="199">
        <f t="shared" si="45"/>
        <v>1</v>
      </c>
    </row>
    <row r="647" spans="1:18" x14ac:dyDescent="0.3">
      <c r="A647" s="124">
        <v>24</v>
      </c>
      <c r="B647" s="37" t="s">
        <v>1224</v>
      </c>
      <c r="C647" s="38">
        <v>29</v>
      </c>
      <c r="D647" s="125" t="s">
        <v>1221</v>
      </c>
      <c r="E647" s="123" t="s">
        <v>1253</v>
      </c>
      <c r="F647" s="126" t="s">
        <v>52</v>
      </c>
      <c r="G647" s="131"/>
      <c r="H647" s="122" t="s">
        <v>267</v>
      </c>
      <c r="I647" s="123" t="s">
        <v>1024</v>
      </c>
      <c r="J647" s="212" t="s">
        <v>1383</v>
      </c>
      <c r="K647" s="212"/>
      <c r="L647" s="212"/>
      <c r="M647" s="213"/>
      <c r="N647" s="213"/>
      <c r="O647" s="213"/>
      <c r="P647" s="212"/>
      <c r="Q647" s="106" t="b">
        <f t="shared" si="42"/>
        <v>1</v>
      </c>
      <c r="R647" s="199">
        <f t="shared" si="45"/>
        <v>1</v>
      </c>
    </row>
    <row r="648" spans="1:18" x14ac:dyDescent="0.3">
      <c r="A648" s="124">
        <v>24</v>
      </c>
      <c r="B648" s="37" t="s">
        <v>1224</v>
      </c>
      <c r="C648" s="38">
        <v>30</v>
      </c>
      <c r="D648" s="125" t="s">
        <v>1222</v>
      </c>
      <c r="E648" s="123" t="s">
        <v>1254</v>
      </c>
      <c r="F648" s="126" t="s">
        <v>52</v>
      </c>
      <c r="G648" s="131"/>
      <c r="H648" s="122" t="s">
        <v>267</v>
      </c>
      <c r="I648" s="123" t="s">
        <v>1024</v>
      </c>
      <c r="J648" s="212" t="s">
        <v>1383</v>
      </c>
      <c r="K648" s="212"/>
      <c r="L648" s="212"/>
      <c r="M648" s="213"/>
      <c r="N648" s="213"/>
      <c r="O648" s="213"/>
      <c r="P648" s="212"/>
      <c r="Q648" s="106" t="b">
        <f t="shared" ref="Q648:Q649" si="46">IF(COUNTA(J648:P648)=0,FALSE,TRUE)</f>
        <v>1</v>
      </c>
      <c r="R648" s="199">
        <f t="shared" si="45"/>
        <v>1</v>
      </c>
    </row>
    <row r="649" spans="1:18" ht="19.5" thickBot="1" x14ac:dyDescent="0.35">
      <c r="A649" s="161">
        <v>24</v>
      </c>
      <c r="B649" s="47" t="s">
        <v>1224</v>
      </c>
      <c r="C649" s="48">
        <v>31</v>
      </c>
      <c r="D649" s="146" t="s">
        <v>1223</v>
      </c>
      <c r="E649" s="148" t="s">
        <v>1255</v>
      </c>
      <c r="F649" s="162" t="s">
        <v>52</v>
      </c>
      <c r="G649" s="167"/>
      <c r="H649" s="147" t="s">
        <v>314</v>
      </c>
      <c r="I649" s="148" t="s">
        <v>1050</v>
      </c>
      <c r="J649" s="215"/>
      <c r="K649" s="215"/>
      <c r="L649" s="215"/>
      <c r="M649" s="216"/>
      <c r="N649" s="216"/>
      <c r="O649" s="216"/>
      <c r="P649" s="215"/>
      <c r="Q649" s="106" t="b">
        <f t="shared" si="46"/>
        <v>0</v>
      </c>
      <c r="R649" s="205">
        <f t="shared" si="45"/>
        <v>0</v>
      </c>
    </row>
    <row r="650" spans="1:18" ht="19.5" hidden="1" thickBot="1" x14ac:dyDescent="0.3">
      <c r="A650" s="137">
        <f>A649</f>
        <v>24</v>
      </c>
      <c r="B650" s="138" t="str">
        <f>B649</f>
        <v>TAMBULIG</v>
      </c>
      <c r="C650" s="15">
        <f>COUNTA(C619:C649)</f>
        <v>31</v>
      </c>
      <c r="D650" s="139" t="s">
        <v>1</v>
      </c>
      <c r="E650" s="139" t="s">
        <v>1374</v>
      </c>
      <c r="F650" s="15">
        <f>COUNTA(F619:F649)</f>
        <v>31</v>
      </c>
      <c r="G650" s="15">
        <f>COUNTA(G619:G649)</f>
        <v>0</v>
      </c>
      <c r="H650" s="291" t="s">
        <v>3</v>
      </c>
      <c r="I650" s="292"/>
      <c r="J650" s="15">
        <f>COUNTA(J619:J649)</f>
        <v>21</v>
      </c>
      <c r="K650" s="15">
        <f t="shared" ref="K650:P650" si="47">COUNTA(K619:K649)</f>
        <v>5</v>
      </c>
      <c r="L650" s="15">
        <f t="shared" si="47"/>
        <v>1</v>
      </c>
      <c r="M650" s="15">
        <f t="shared" si="47"/>
        <v>0</v>
      </c>
      <c r="N650" s="15">
        <f t="shared" si="47"/>
        <v>0</v>
      </c>
      <c r="O650" s="15">
        <f t="shared" si="47"/>
        <v>1</v>
      </c>
      <c r="P650" s="15">
        <f t="shared" si="47"/>
        <v>0</v>
      </c>
      <c r="Q650" s="22">
        <f>COUNTIF(Q619:Q649,TRUE)</f>
        <v>22</v>
      </c>
      <c r="R650" s="249">
        <f>SUM(J650:P650)</f>
        <v>28</v>
      </c>
    </row>
    <row r="651" spans="1:18" x14ac:dyDescent="0.3">
      <c r="A651" s="119">
        <v>25</v>
      </c>
      <c r="B651" s="41" t="s">
        <v>1272</v>
      </c>
      <c r="C651" s="44">
        <v>1</v>
      </c>
      <c r="D651" s="150" t="s">
        <v>1256</v>
      </c>
      <c r="E651" s="153" t="s">
        <v>1273</v>
      </c>
      <c r="F651" s="151" t="s">
        <v>52</v>
      </c>
      <c r="G651" s="168"/>
      <c r="H651" s="152" t="s">
        <v>413</v>
      </c>
      <c r="I651" s="153" t="s">
        <v>412</v>
      </c>
      <c r="J651" s="218" t="s">
        <v>1383</v>
      </c>
      <c r="K651" s="218"/>
      <c r="L651" s="218"/>
      <c r="M651" s="219"/>
      <c r="N651" s="219"/>
      <c r="O651" s="219"/>
      <c r="P651" s="218"/>
      <c r="Q651" s="243" t="b">
        <f t="shared" ref="Q651:Q709" si="48">IF(COUNTA(J651:P651)=0,FALSE,TRUE)</f>
        <v>1</v>
      </c>
      <c r="R651" s="208">
        <f t="shared" si="45"/>
        <v>1</v>
      </c>
    </row>
    <row r="652" spans="1:18" x14ac:dyDescent="0.3">
      <c r="A652" s="124">
        <v>25</v>
      </c>
      <c r="B652" s="37" t="s">
        <v>1272</v>
      </c>
      <c r="C652" s="38">
        <v>2</v>
      </c>
      <c r="D652" s="125" t="s">
        <v>1257</v>
      </c>
      <c r="E652" s="123" t="s">
        <v>1274</v>
      </c>
      <c r="F652" s="131"/>
      <c r="G652" s="128" t="s">
        <v>53</v>
      </c>
      <c r="H652" s="122" t="s">
        <v>519</v>
      </c>
      <c r="I652" s="123" t="s">
        <v>610</v>
      </c>
      <c r="J652" s="212"/>
      <c r="K652" s="212"/>
      <c r="L652" s="212"/>
      <c r="M652" s="213"/>
      <c r="N652" s="213"/>
      <c r="O652" s="213"/>
      <c r="P652" s="212"/>
      <c r="Q652" s="106" t="b">
        <f t="shared" si="48"/>
        <v>0</v>
      </c>
      <c r="R652" s="199">
        <f t="shared" si="45"/>
        <v>0</v>
      </c>
    </row>
    <row r="653" spans="1:18" x14ac:dyDescent="0.3">
      <c r="A653" s="124">
        <v>25</v>
      </c>
      <c r="B653" s="37" t="s">
        <v>1272</v>
      </c>
      <c r="C653" s="38">
        <v>3</v>
      </c>
      <c r="D653" s="125" t="s">
        <v>1258</v>
      </c>
      <c r="E653" s="123" t="s">
        <v>1275</v>
      </c>
      <c r="F653" s="126" t="s">
        <v>52</v>
      </c>
      <c r="G653" s="131"/>
      <c r="H653" s="122" t="s">
        <v>413</v>
      </c>
      <c r="I653" s="123" t="s">
        <v>412</v>
      </c>
      <c r="J653" s="212"/>
      <c r="K653" s="212"/>
      <c r="L653" s="212"/>
      <c r="M653" s="213"/>
      <c r="N653" s="213"/>
      <c r="O653" s="213"/>
      <c r="P653" s="212"/>
      <c r="Q653" s="106" t="b">
        <f t="shared" si="48"/>
        <v>0</v>
      </c>
      <c r="R653" s="199">
        <f t="shared" si="45"/>
        <v>0</v>
      </c>
    </row>
    <row r="654" spans="1:18" x14ac:dyDescent="0.3">
      <c r="A654" s="124">
        <v>25</v>
      </c>
      <c r="B654" s="37" t="s">
        <v>1272</v>
      </c>
      <c r="C654" s="38">
        <v>4</v>
      </c>
      <c r="D654" s="125" t="s">
        <v>1259</v>
      </c>
      <c r="E654" s="123" t="s">
        <v>1276</v>
      </c>
      <c r="F654" s="126" t="s">
        <v>52</v>
      </c>
      <c r="G654" s="131"/>
      <c r="H654" s="122" t="s">
        <v>519</v>
      </c>
      <c r="I654" s="123" t="s">
        <v>610</v>
      </c>
      <c r="J654" s="212" t="s">
        <v>1383</v>
      </c>
      <c r="K654" s="212"/>
      <c r="L654" s="212"/>
      <c r="M654" s="213"/>
      <c r="N654" s="213"/>
      <c r="O654" s="213"/>
      <c r="P654" s="212"/>
      <c r="Q654" s="106" t="b">
        <f t="shared" si="48"/>
        <v>1</v>
      </c>
      <c r="R654" s="199">
        <f t="shared" si="45"/>
        <v>1</v>
      </c>
    </row>
    <row r="655" spans="1:18" x14ac:dyDescent="0.3">
      <c r="A655" s="124">
        <v>25</v>
      </c>
      <c r="B655" s="37" t="s">
        <v>1272</v>
      </c>
      <c r="C655" s="38">
        <v>5</v>
      </c>
      <c r="D655" s="125" t="s">
        <v>1260</v>
      </c>
      <c r="E655" s="123" t="s">
        <v>1277</v>
      </c>
      <c r="F655" s="131"/>
      <c r="G655" s="128" t="s">
        <v>53</v>
      </c>
      <c r="H655" s="122" t="s">
        <v>413</v>
      </c>
      <c r="I655" s="123" t="s">
        <v>412</v>
      </c>
      <c r="J655" s="212"/>
      <c r="K655" s="212"/>
      <c r="L655" s="212"/>
      <c r="M655" s="213"/>
      <c r="N655" s="213"/>
      <c r="O655" s="213"/>
      <c r="P655" s="212"/>
      <c r="Q655" s="106" t="b">
        <f t="shared" si="48"/>
        <v>0</v>
      </c>
      <c r="R655" s="199">
        <f t="shared" si="45"/>
        <v>0</v>
      </c>
    </row>
    <row r="656" spans="1:18" x14ac:dyDescent="0.3">
      <c r="A656" s="124">
        <v>25</v>
      </c>
      <c r="B656" s="37" t="s">
        <v>1272</v>
      </c>
      <c r="C656" s="38">
        <v>6</v>
      </c>
      <c r="D656" s="125" t="s">
        <v>1261</v>
      </c>
      <c r="E656" s="123" t="s">
        <v>1278</v>
      </c>
      <c r="F656" s="131"/>
      <c r="G656" s="128" t="s">
        <v>53</v>
      </c>
      <c r="H656" s="122" t="s">
        <v>519</v>
      </c>
      <c r="I656" s="123" t="s">
        <v>610</v>
      </c>
      <c r="J656" s="212"/>
      <c r="K656" s="212"/>
      <c r="L656" s="212"/>
      <c r="M656" s="213"/>
      <c r="N656" s="213"/>
      <c r="O656" s="213"/>
      <c r="P656" s="212"/>
      <c r="Q656" s="106" t="b">
        <f t="shared" si="48"/>
        <v>0</v>
      </c>
      <c r="R656" s="199">
        <f t="shared" si="45"/>
        <v>0</v>
      </c>
    </row>
    <row r="657" spans="1:18" x14ac:dyDescent="0.3">
      <c r="A657" s="124">
        <v>25</v>
      </c>
      <c r="B657" s="37" t="s">
        <v>1272</v>
      </c>
      <c r="C657" s="38">
        <v>7</v>
      </c>
      <c r="D657" s="125" t="s">
        <v>1262</v>
      </c>
      <c r="E657" s="123" t="s">
        <v>1279</v>
      </c>
      <c r="F657" s="126" t="s">
        <v>52</v>
      </c>
      <c r="G657" s="128"/>
      <c r="H657" s="122" t="s">
        <v>519</v>
      </c>
      <c r="I657" s="123" t="s">
        <v>610</v>
      </c>
      <c r="J657" s="212" t="s">
        <v>1383</v>
      </c>
      <c r="K657" s="212"/>
      <c r="L657" s="212"/>
      <c r="M657" s="213"/>
      <c r="N657" s="213"/>
      <c r="O657" s="213"/>
      <c r="P657" s="212"/>
      <c r="Q657" s="106" t="b">
        <f t="shared" si="48"/>
        <v>1</v>
      </c>
      <c r="R657" s="199">
        <f t="shared" si="45"/>
        <v>1</v>
      </c>
    </row>
    <row r="658" spans="1:18" x14ac:dyDescent="0.3">
      <c r="A658" s="124">
        <v>25</v>
      </c>
      <c r="B658" s="37" t="s">
        <v>1272</v>
      </c>
      <c r="C658" s="38">
        <v>8</v>
      </c>
      <c r="D658" s="125" t="s">
        <v>1292</v>
      </c>
      <c r="E658" s="123" t="s">
        <v>1280</v>
      </c>
      <c r="F658" s="126" t="s">
        <v>52</v>
      </c>
      <c r="G658" s="131"/>
      <c r="H658" s="122" t="s">
        <v>413</v>
      </c>
      <c r="I658" s="123" t="s">
        <v>412</v>
      </c>
      <c r="J658" s="212"/>
      <c r="K658" s="212"/>
      <c r="L658" s="212"/>
      <c r="M658" s="213"/>
      <c r="N658" s="212" t="s">
        <v>1383</v>
      </c>
      <c r="O658" s="212"/>
      <c r="P658" s="212"/>
      <c r="Q658" s="106" t="b">
        <f t="shared" si="48"/>
        <v>1</v>
      </c>
      <c r="R658" s="199">
        <f t="shared" si="45"/>
        <v>1</v>
      </c>
    </row>
    <row r="659" spans="1:18" x14ac:dyDescent="0.3">
      <c r="A659" s="124">
        <v>25</v>
      </c>
      <c r="B659" s="37" t="s">
        <v>1272</v>
      </c>
      <c r="C659" s="38">
        <v>9</v>
      </c>
      <c r="D659" s="125" t="s">
        <v>1263</v>
      </c>
      <c r="E659" s="123" t="s">
        <v>1281</v>
      </c>
      <c r="F659" s="126" t="s">
        <v>52</v>
      </c>
      <c r="G659" s="128"/>
      <c r="H659" s="122" t="s">
        <v>519</v>
      </c>
      <c r="I659" s="123" t="s">
        <v>610</v>
      </c>
      <c r="J659" s="212" t="s">
        <v>1383</v>
      </c>
      <c r="K659" s="212" t="s">
        <v>1383</v>
      </c>
      <c r="L659" s="212"/>
      <c r="M659" s="213"/>
      <c r="N659" s="213"/>
      <c r="O659" s="213"/>
      <c r="P659" s="212"/>
      <c r="Q659" s="106" t="b">
        <f t="shared" si="48"/>
        <v>1</v>
      </c>
      <c r="R659" s="199">
        <f t="shared" si="45"/>
        <v>2</v>
      </c>
    </row>
    <row r="660" spans="1:18" x14ac:dyDescent="0.3">
      <c r="A660" s="124">
        <v>25</v>
      </c>
      <c r="B660" s="37" t="s">
        <v>1272</v>
      </c>
      <c r="C660" s="38">
        <v>10</v>
      </c>
      <c r="D660" s="125" t="s">
        <v>1264</v>
      </c>
      <c r="E660" s="123" t="s">
        <v>1282</v>
      </c>
      <c r="F660" s="131"/>
      <c r="G660" s="128" t="s">
        <v>53</v>
      </c>
      <c r="H660" s="122" t="s">
        <v>413</v>
      </c>
      <c r="I660" s="123" t="s">
        <v>412</v>
      </c>
      <c r="J660" s="212"/>
      <c r="K660" s="212"/>
      <c r="L660" s="212"/>
      <c r="M660" s="213"/>
      <c r="N660" s="213"/>
      <c r="O660" s="213"/>
      <c r="P660" s="212"/>
      <c r="Q660" s="106" t="b">
        <f t="shared" si="48"/>
        <v>0</v>
      </c>
      <c r="R660" s="199">
        <f t="shared" si="45"/>
        <v>0</v>
      </c>
    </row>
    <row r="661" spans="1:18" x14ac:dyDescent="0.3">
      <c r="A661" s="124">
        <v>25</v>
      </c>
      <c r="B661" s="37" t="s">
        <v>1272</v>
      </c>
      <c r="C661" s="38">
        <v>11</v>
      </c>
      <c r="D661" s="125" t="s">
        <v>1265</v>
      </c>
      <c r="E661" s="123" t="s">
        <v>1283</v>
      </c>
      <c r="F661" s="126" t="s">
        <v>52</v>
      </c>
      <c r="G661" s="131"/>
      <c r="H661" s="122" t="s">
        <v>1293</v>
      </c>
      <c r="I661" s="123" t="s">
        <v>1290</v>
      </c>
      <c r="J661" s="212"/>
      <c r="K661" s="212"/>
      <c r="L661" s="212"/>
      <c r="M661" s="213"/>
      <c r="N661" s="213"/>
      <c r="O661" s="213"/>
      <c r="P661" s="212"/>
      <c r="Q661" s="106" t="b">
        <f t="shared" si="48"/>
        <v>0</v>
      </c>
      <c r="R661" s="199">
        <f t="shared" si="45"/>
        <v>0</v>
      </c>
    </row>
    <row r="662" spans="1:18" x14ac:dyDescent="0.3">
      <c r="A662" s="124">
        <v>25</v>
      </c>
      <c r="B662" s="37" t="s">
        <v>1272</v>
      </c>
      <c r="C662" s="38">
        <v>12</v>
      </c>
      <c r="D662" s="125" t="s">
        <v>1294</v>
      </c>
      <c r="E662" s="123" t="s">
        <v>1284</v>
      </c>
      <c r="F662" s="131"/>
      <c r="G662" s="128" t="s">
        <v>53</v>
      </c>
      <c r="H662" s="122" t="s">
        <v>519</v>
      </c>
      <c r="I662" s="123" t="s">
        <v>610</v>
      </c>
      <c r="J662" s="212"/>
      <c r="K662" s="212"/>
      <c r="L662" s="212"/>
      <c r="M662" s="213"/>
      <c r="N662" s="213"/>
      <c r="O662" s="213"/>
      <c r="P662" s="212"/>
      <c r="Q662" s="106" t="b">
        <f t="shared" si="48"/>
        <v>0</v>
      </c>
      <c r="R662" s="199">
        <f t="shared" si="45"/>
        <v>0</v>
      </c>
    </row>
    <row r="663" spans="1:18" x14ac:dyDescent="0.3">
      <c r="A663" s="124">
        <v>25</v>
      </c>
      <c r="B663" s="37" t="s">
        <v>1272</v>
      </c>
      <c r="C663" s="38">
        <v>13</v>
      </c>
      <c r="D663" s="125" t="s">
        <v>1266</v>
      </c>
      <c r="E663" s="123" t="s">
        <v>1285</v>
      </c>
      <c r="F663" s="126" t="s">
        <v>52</v>
      </c>
      <c r="G663" s="131"/>
      <c r="H663" s="122" t="s">
        <v>519</v>
      </c>
      <c r="I663" s="123" t="s">
        <v>610</v>
      </c>
      <c r="J663" s="212"/>
      <c r="K663" s="212"/>
      <c r="L663" s="212"/>
      <c r="M663" s="213"/>
      <c r="N663" s="213"/>
      <c r="O663" s="213"/>
      <c r="P663" s="212"/>
      <c r="Q663" s="106" t="b">
        <f t="shared" si="48"/>
        <v>0</v>
      </c>
      <c r="R663" s="199">
        <f t="shared" si="45"/>
        <v>0</v>
      </c>
    </row>
    <row r="664" spans="1:18" x14ac:dyDescent="0.3">
      <c r="A664" s="124">
        <v>25</v>
      </c>
      <c r="B664" s="37" t="s">
        <v>1272</v>
      </c>
      <c r="C664" s="38">
        <v>14</v>
      </c>
      <c r="D664" s="125" t="s">
        <v>1267</v>
      </c>
      <c r="E664" s="123" t="s">
        <v>1286</v>
      </c>
      <c r="F664" s="131"/>
      <c r="G664" s="128" t="s">
        <v>53</v>
      </c>
      <c r="H664" s="122" t="s">
        <v>519</v>
      </c>
      <c r="I664" s="123" t="s">
        <v>610</v>
      </c>
      <c r="J664" s="212"/>
      <c r="K664" s="212"/>
      <c r="L664" s="212"/>
      <c r="M664" s="213"/>
      <c r="N664" s="213"/>
      <c r="O664" s="213"/>
      <c r="P664" s="212"/>
      <c r="Q664" s="106" t="b">
        <f t="shared" si="48"/>
        <v>0</v>
      </c>
      <c r="R664" s="199">
        <f t="shared" si="45"/>
        <v>0</v>
      </c>
    </row>
    <row r="665" spans="1:18" x14ac:dyDescent="0.3">
      <c r="A665" s="124">
        <v>25</v>
      </c>
      <c r="B665" s="37" t="s">
        <v>1272</v>
      </c>
      <c r="C665" s="38">
        <v>15</v>
      </c>
      <c r="D665" s="125" t="s">
        <v>1268</v>
      </c>
      <c r="E665" s="123" t="s">
        <v>1287</v>
      </c>
      <c r="F665" s="126" t="s">
        <v>52</v>
      </c>
      <c r="G665" s="131"/>
      <c r="H665" s="122" t="s">
        <v>1293</v>
      </c>
      <c r="I665" s="123" t="s">
        <v>1290</v>
      </c>
      <c r="J665" s="212" t="s">
        <v>1383</v>
      </c>
      <c r="K665" s="212"/>
      <c r="L665" s="212"/>
      <c r="M665" s="213"/>
      <c r="N665" s="213"/>
      <c r="O665" s="213"/>
      <c r="P665" s="212"/>
      <c r="Q665" s="106" t="b">
        <f t="shared" si="48"/>
        <v>1</v>
      </c>
      <c r="R665" s="199">
        <f t="shared" si="45"/>
        <v>1</v>
      </c>
    </row>
    <row r="666" spans="1:18" x14ac:dyDescent="0.3">
      <c r="A666" s="124">
        <v>25</v>
      </c>
      <c r="B666" s="37" t="s">
        <v>1272</v>
      </c>
      <c r="C666" s="38">
        <v>16</v>
      </c>
      <c r="D666" s="125" t="s">
        <v>1269</v>
      </c>
      <c r="E666" s="123" t="s">
        <v>1288</v>
      </c>
      <c r="F666" s="126" t="s">
        <v>52</v>
      </c>
      <c r="G666" s="131"/>
      <c r="H666" s="122" t="s">
        <v>519</v>
      </c>
      <c r="I666" s="123" t="s">
        <v>610</v>
      </c>
      <c r="J666" s="212" t="s">
        <v>1383</v>
      </c>
      <c r="K666" s="212"/>
      <c r="L666" s="212"/>
      <c r="M666" s="213"/>
      <c r="N666" s="213"/>
      <c r="O666" s="213"/>
      <c r="P666" s="212" t="s">
        <v>1383</v>
      </c>
      <c r="Q666" s="106" t="b">
        <f t="shared" si="48"/>
        <v>1</v>
      </c>
      <c r="R666" s="199">
        <f t="shared" si="45"/>
        <v>2</v>
      </c>
    </row>
    <row r="667" spans="1:18" x14ac:dyDescent="0.3">
      <c r="A667" s="124">
        <v>25</v>
      </c>
      <c r="B667" s="37" t="s">
        <v>1272</v>
      </c>
      <c r="C667" s="38">
        <v>17</v>
      </c>
      <c r="D667" s="125" t="s">
        <v>1270</v>
      </c>
      <c r="E667" s="123" t="s">
        <v>1289</v>
      </c>
      <c r="F667" s="126" t="s">
        <v>52</v>
      </c>
      <c r="G667" s="131"/>
      <c r="H667" s="122" t="s">
        <v>519</v>
      </c>
      <c r="I667" s="123" t="s">
        <v>610</v>
      </c>
      <c r="J667" s="212" t="s">
        <v>1383</v>
      </c>
      <c r="K667" s="212"/>
      <c r="L667" s="212"/>
      <c r="M667" s="213"/>
      <c r="N667" s="213"/>
      <c r="O667" s="213"/>
      <c r="P667" s="212"/>
      <c r="Q667" s="106" t="b">
        <f t="shared" si="48"/>
        <v>1</v>
      </c>
      <c r="R667" s="199">
        <f t="shared" si="45"/>
        <v>1</v>
      </c>
    </row>
    <row r="668" spans="1:18" ht="19.5" thickBot="1" x14ac:dyDescent="0.35">
      <c r="A668" s="132">
        <v>25</v>
      </c>
      <c r="B668" s="39" t="s">
        <v>1272</v>
      </c>
      <c r="C668" s="45">
        <v>18</v>
      </c>
      <c r="D668" s="156" t="s">
        <v>1271</v>
      </c>
      <c r="E668" s="159" t="s">
        <v>1290</v>
      </c>
      <c r="F668" s="157" t="s">
        <v>52</v>
      </c>
      <c r="G668" s="174"/>
      <c r="H668" s="158" t="s">
        <v>519</v>
      </c>
      <c r="I668" s="159" t="s">
        <v>610</v>
      </c>
      <c r="J668" s="221" t="s">
        <v>1383</v>
      </c>
      <c r="K668" s="221"/>
      <c r="L668" s="221" t="s">
        <v>1383</v>
      </c>
      <c r="M668" s="222"/>
      <c r="N668" s="222"/>
      <c r="O668" s="222"/>
      <c r="P668" s="221"/>
      <c r="Q668" s="244" t="b">
        <f t="shared" si="48"/>
        <v>1</v>
      </c>
      <c r="R668" s="202">
        <f t="shared" si="45"/>
        <v>2</v>
      </c>
    </row>
    <row r="669" spans="1:18" ht="19.5" hidden="1" thickBot="1" x14ac:dyDescent="0.3">
      <c r="A669" s="137">
        <f>A668</f>
        <v>25</v>
      </c>
      <c r="B669" s="138" t="str">
        <f>B668</f>
        <v>TIGBAO</v>
      </c>
      <c r="C669" s="15">
        <f>COUNTA(C651:C668)</f>
        <v>18</v>
      </c>
      <c r="D669" s="139" t="s">
        <v>1</v>
      </c>
      <c r="E669" s="139" t="s">
        <v>1374</v>
      </c>
      <c r="F669" s="15">
        <f>COUNTA(F651:F668)</f>
        <v>12</v>
      </c>
      <c r="G669" s="15">
        <f>COUNTA(G651:G668)</f>
        <v>6</v>
      </c>
      <c r="H669" s="291" t="s">
        <v>3</v>
      </c>
      <c r="I669" s="292"/>
      <c r="J669" s="15">
        <f t="shared" ref="J669:P669" si="49">COUNTA(J651:J668)</f>
        <v>8</v>
      </c>
      <c r="K669" s="15">
        <f t="shared" si="49"/>
        <v>1</v>
      </c>
      <c r="L669" s="15">
        <f t="shared" si="49"/>
        <v>1</v>
      </c>
      <c r="M669" s="15">
        <f t="shared" si="49"/>
        <v>0</v>
      </c>
      <c r="N669" s="15">
        <f t="shared" si="49"/>
        <v>1</v>
      </c>
      <c r="O669" s="15">
        <f t="shared" si="49"/>
        <v>0</v>
      </c>
      <c r="P669" s="15">
        <f t="shared" si="49"/>
        <v>1</v>
      </c>
      <c r="Q669" s="22">
        <f>COUNTIF(Q651:Q668,TRUE)</f>
        <v>9</v>
      </c>
      <c r="R669" s="249">
        <f>SUM(J669:P669)</f>
        <v>12</v>
      </c>
    </row>
    <row r="670" spans="1:18" x14ac:dyDescent="0.3">
      <c r="A670" s="140">
        <v>26</v>
      </c>
      <c r="B670" s="36" t="s">
        <v>1314</v>
      </c>
      <c r="C670" s="46">
        <v>1</v>
      </c>
      <c r="D670" s="166" t="s">
        <v>1295</v>
      </c>
      <c r="E670" s="144" t="s">
        <v>1315</v>
      </c>
      <c r="F670" s="121" t="s">
        <v>52</v>
      </c>
      <c r="G670" s="165"/>
      <c r="H670" s="142" t="s">
        <v>413</v>
      </c>
      <c r="I670" s="144" t="s">
        <v>412</v>
      </c>
      <c r="J670" s="209"/>
      <c r="K670" s="209"/>
      <c r="L670" s="209"/>
      <c r="M670" s="210"/>
      <c r="N670" s="210"/>
      <c r="O670" s="210"/>
      <c r="P670" s="209"/>
      <c r="Q670" s="106" t="b">
        <f t="shared" si="48"/>
        <v>0</v>
      </c>
      <c r="R670" s="196">
        <f t="shared" si="45"/>
        <v>0</v>
      </c>
    </row>
    <row r="671" spans="1:18" x14ac:dyDescent="0.3">
      <c r="A671" s="124">
        <v>26</v>
      </c>
      <c r="B671" s="37" t="s">
        <v>1314</v>
      </c>
      <c r="C671" s="38">
        <v>2</v>
      </c>
      <c r="D671" s="125" t="s">
        <v>1296</v>
      </c>
      <c r="E671" s="123" t="s">
        <v>1316</v>
      </c>
      <c r="F671" s="131"/>
      <c r="G671" s="128" t="s">
        <v>53</v>
      </c>
      <c r="H671" s="154" t="s">
        <v>1341</v>
      </c>
      <c r="I671" s="155" t="s">
        <v>1340</v>
      </c>
      <c r="J671" s="212"/>
      <c r="K671" s="212"/>
      <c r="L671" s="212"/>
      <c r="M671" s="213"/>
      <c r="N671" s="213"/>
      <c r="O671" s="213"/>
      <c r="P671" s="212"/>
      <c r="Q671" s="106" t="b">
        <f t="shared" si="48"/>
        <v>0</v>
      </c>
      <c r="R671" s="199">
        <f t="shared" si="45"/>
        <v>0</v>
      </c>
    </row>
    <row r="672" spans="1:18" x14ac:dyDescent="0.3">
      <c r="A672" s="124">
        <v>26</v>
      </c>
      <c r="B672" s="37" t="s">
        <v>1314</v>
      </c>
      <c r="C672" s="38">
        <v>3</v>
      </c>
      <c r="D672" s="125" t="s">
        <v>528</v>
      </c>
      <c r="E672" s="123" t="s">
        <v>1317</v>
      </c>
      <c r="F672" s="131"/>
      <c r="G672" s="128" t="s">
        <v>53</v>
      </c>
      <c r="H672" s="154" t="s">
        <v>1341</v>
      </c>
      <c r="I672" s="155" t="s">
        <v>1340</v>
      </c>
      <c r="J672" s="212"/>
      <c r="K672" s="212"/>
      <c r="L672" s="212"/>
      <c r="M672" s="213"/>
      <c r="N672" s="213"/>
      <c r="O672" s="213"/>
      <c r="P672" s="212"/>
      <c r="Q672" s="106" t="b">
        <f t="shared" si="48"/>
        <v>0</v>
      </c>
      <c r="R672" s="199">
        <f t="shared" si="45"/>
        <v>0</v>
      </c>
    </row>
    <row r="673" spans="1:18" x14ac:dyDescent="0.3">
      <c r="A673" s="124">
        <v>26</v>
      </c>
      <c r="B673" s="37" t="s">
        <v>1314</v>
      </c>
      <c r="C673" s="38">
        <v>4</v>
      </c>
      <c r="D673" s="125" t="s">
        <v>1297</v>
      </c>
      <c r="E673" s="123" t="s">
        <v>1318</v>
      </c>
      <c r="F673" s="126" t="s">
        <v>52</v>
      </c>
      <c r="G673" s="131"/>
      <c r="H673" s="122" t="s">
        <v>262</v>
      </c>
      <c r="I673" s="123" t="s">
        <v>1291</v>
      </c>
      <c r="J673" s="212" t="s">
        <v>1383</v>
      </c>
      <c r="K673" s="212" t="s">
        <v>1383</v>
      </c>
      <c r="L673" s="212" t="s">
        <v>1383</v>
      </c>
      <c r="M673" s="213"/>
      <c r="N673" s="213"/>
      <c r="O673" s="213"/>
      <c r="P673" s="212"/>
      <c r="Q673" s="106" t="b">
        <f t="shared" si="48"/>
        <v>1</v>
      </c>
      <c r="R673" s="199">
        <f t="shared" si="45"/>
        <v>3</v>
      </c>
    </row>
    <row r="674" spans="1:18" x14ac:dyDescent="0.3">
      <c r="A674" s="124">
        <v>26</v>
      </c>
      <c r="B674" s="37" t="s">
        <v>1314</v>
      </c>
      <c r="C674" s="38">
        <v>5</v>
      </c>
      <c r="D674" s="125" t="s">
        <v>148</v>
      </c>
      <c r="E674" s="123" t="s">
        <v>1319</v>
      </c>
      <c r="F674" s="131"/>
      <c r="G674" s="128" t="s">
        <v>53</v>
      </c>
      <c r="H674" s="154" t="s">
        <v>1341</v>
      </c>
      <c r="I674" s="155" t="s">
        <v>1340</v>
      </c>
      <c r="J674" s="212"/>
      <c r="K674" s="212"/>
      <c r="L674" s="212"/>
      <c r="M674" s="213"/>
      <c r="N674" s="213"/>
      <c r="O674" s="213"/>
      <c r="P674" s="212"/>
      <c r="Q674" s="106" t="b">
        <f t="shared" si="48"/>
        <v>0</v>
      </c>
      <c r="R674" s="199">
        <f t="shared" si="45"/>
        <v>0</v>
      </c>
    </row>
    <row r="675" spans="1:18" x14ac:dyDescent="0.3">
      <c r="A675" s="124">
        <v>26</v>
      </c>
      <c r="B675" s="37" t="s">
        <v>1314</v>
      </c>
      <c r="C675" s="38">
        <v>6</v>
      </c>
      <c r="D675" s="125" t="s">
        <v>1298</v>
      </c>
      <c r="E675" s="123" t="s">
        <v>1320</v>
      </c>
      <c r="F675" s="126" t="s">
        <v>52</v>
      </c>
      <c r="G675" s="131"/>
      <c r="H675" s="122" t="s">
        <v>413</v>
      </c>
      <c r="I675" s="123" t="s">
        <v>412</v>
      </c>
      <c r="J675" s="212" t="s">
        <v>1383</v>
      </c>
      <c r="K675" s="212"/>
      <c r="L675" s="212"/>
      <c r="M675" s="213"/>
      <c r="N675" s="213"/>
      <c r="O675" s="213"/>
      <c r="P675" s="212"/>
      <c r="Q675" s="106" t="b">
        <f t="shared" si="48"/>
        <v>1</v>
      </c>
      <c r="R675" s="199">
        <f t="shared" si="45"/>
        <v>1</v>
      </c>
    </row>
    <row r="676" spans="1:18" x14ac:dyDescent="0.3">
      <c r="A676" s="124">
        <v>26</v>
      </c>
      <c r="B676" s="37" t="s">
        <v>1314</v>
      </c>
      <c r="C676" s="38">
        <v>7</v>
      </c>
      <c r="D676" s="125" t="s">
        <v>1059</v>
      </c>
      <c r="E676" s="123" t="s">
        <v>1321</v>
      </c>
      <c r="F676" s="126" t="s">
        <v>52</v>
      </c>
      <c r="G676" s="131"/>
      <c r="H676" s="122" t="s">
        <v>262</v>
      </c>
      <c r="I676" s="123" t="s">
        <v>1291</v>
      </c>
      <c r="J676" s="212" t="s">
        <v>1383</v>
      </c>
      <c r="K676" s="212" t="s">
        <v>1383</v>
      </c>
      <c r="L676" s="212"/>
      <c r="M676" s="213"/>
      <c r="N676" s="213"/>
      <c r="O676" s="213"/>
      <c r="P676" s="212"/>
      <c r="Q676" s="106" t="b">
        <f t="shared" si="48"/>
        <v>1</v>
      </c>
      <c r="R676" s="199">
        <f t="shared" si="45"/>
        <v>2</v>
      </c>
    </row>
    <row r="677" spans="1:18" x14ac:dyDescent="0.3">
      <c r="A677" s="124">
        <v>26</v>
      </c>
      <c r="B677" s="37" t="s">
        <v>1314</v>
      </c>
      <c r="C677" s="38">
        <v>8</v>
      </c>
      <c r="D677" s="125" t="s">
        <v>34</v>
      </c>
      <c r="E677" s="123" t="s">
        <v>1322</v>
      </c>
      <c r="F677" s="126" t="s">
        <v>52</v>
      </c>
      <c r="G677" s="131"/>
      <c r="H677" s="122" t="s">
        <v>413</v>
      </c>
      <c r="I677" s="123" t="s">
        <v>412</v>
      </c>
      <c r="J677" s="212"/>
      <c r="K677" s="212"/>
      <c r="L677" s="212"/>
      <c r="M677" s="213"/>
      <c r="N677" s="213"/>
      <c r="O677" s="213"/>
      <c r="P677" s="212"/>
      <c r="Q677" s="106" t="b">
        <f t="shared" si="48"/>
        <v>0</v>
      </c>
      <c r="R677" s="199">
        <f t="shared" si="45"/>
        <v>0</v>
      </c>
    </row>
    <row r="678" spans="1:18" x14ac:dyDescent="0.3">
      <c r="A678" s="124">
        <v>26</v>
      </c>
      <c r="B678" s="37" t="s">
        <v>1314</v>
      </c>
      <c r="C678" s="38">
        <v>9</v>
      </c>
      <c r="D678" s="125" t="s">
        <v>1299</v>
      </c>
      <c r="E678" s="123" t="s">
        <v>1323</v>
      </c>
      <c r="F678" s="126" t="s">
        <v>52</v>
      </c>
      <c r="G678" s="131"/>
      <c r="H678" s="122" t="s">
        <v>413</v>
      </c>
      <c r="I678" s="123" t="s">
        <v>412</v>
      </c>
      <c r="J678" s="212"/>
      <c r="K678" s="212"/>
      <c r="L678" s="212"/>
      <c r="M678" s="213"/>
      <c r="N678" s="213"/>
      <c r="O678" s="213"/>
      <c r="P678" s="212"/>
      <c r="Q678" s="106" t="b">
        <f t="shared" si="48"/>
        <v>0</v>
      </c>
      <c r="R678" s="199">
        <f t="shared" si="45"/>
        <v>0</v>
      </c>
    </row>
    <row r="679" spans="1:18" x14ac:dyDescent="0.3">
      <c r="A679" s="124">
        <v>26</v>
      </c>
      <c r="B679" s="37" t="s">
        <v>1314</v>
      </c>
      <c r="C679" s="38">
        <v>10</v>
      </c>
      <c r="D679" s="125" t="s">
        <v>1300</v>
      </c>
      <c r="E679" s="123" t="s">
        <v>1324</v>
      </c>
      <c r="F679" s="126" t="s">
        <v>52</v>
      </c>
      <c r="G679" s="131"/>
      <c r="H679" s="122" t="s">
        <v>413</v>
      </c>
      <c r="I679" s="123" t="s">
        <v>412</v>
      </c>
      <c r="J679" s="212"/>
      <c r="K679" s="212"/>
      <c r="L679" s="212"/>
      <c r="M679" s="213"/>
      <c r="N679" s="213"/>
      <c r="O679" s="213"/>
      <c r="P679" s="212"/>
      <c r="Q679" s="106" t="b">
        <f t="shared" si="48"/>
        <v>0</v>
      </c>
      <c r="R679" s="199">
        <f t="shared" si="45"/>
        <v>0</v>
      </c>
    </row>
    <row r="680" spans="1:18" x14ac:dyDescent="0.3">
      <c r="A680" s="124">
        <v>26</v>
      </c>
      <c r="B680" s="37" t="s">
        <v>1314</v>
      </c>
      <c r="C680" s="38">
        <v>11</v>
      </c>
      <c r="D680" s="125" t="s">
        <v>1301</v>
      </c>
      <c r="E680" s="123" t="s">
        <v>1325</v>
      </c>
      <c r="F680" s="131"/>
      <c r="G680" s="128" t="s">
        <v>53</v>
      </c>
      <c r="H680" s="154" t="s">
        <v>1341</v>
      </c>
      <c r="I680" s="155" t="s">
        <v>1340</v>
      </c>
      <c r="J680" s="212"/>
      <c r="K680" s="212"/>
      <c r="L680" s="212"/>
      <c r="M680" s="213"/>
      <c r="N680" s="213"/>
      <c r="O680" s="213"/>
      <c r="P680" s="212"/>
      <c r="Q680" s="106" t="b">
        <f t="shared" si="48"/>
        <v>0</v>
      </c>
      <c r="R680" s="199">
        <f t="shared" si="45"/>
        <v>0</v>
      </c>
    </row>
    <row r="681" spans="1:18" x14ac:dyDescent="0.3">
      <c r="A681" s="124">
        <v>26</v>
      </c>
      <c r="B681" s="37" t="s">
        <v>1314</v>
      </c>
      <c r="C681" s="38">
        <v>12</v>
      </c>
      <c r="D681" s="125" t="s">
        <v>1302</v>
      </c>
      <c r="E681" s="123" t="s">
        <v>1326</v>
      </c>
      <c r="F681" s="126" t="s">
        <v>52</v>
      </c>
      <c r="G681" s="131"/>
      <c r="H681" s="122" t="s">
        <v>262</v>
      </c>
      <c r="I681" s="123" t="s">
        <v>1291</v>
      </c>
      <c r="J681" s="212"/>
      <c r="K681" s="212"/>
      <c r="L681" s="212"/>
      <c r="M681" s="213"/>
      <c r="N681" s="213"/>
      <c r="O681" s="213"/>
      <c r="P681" s="212"/>
      <c r="Q681" s="106" t="b">
        <f t="shared" si="48"/>
        <v>0</v>
      </c>
      <c r="R681" s="199">
        <f t="shared" si="45"/>
        <v>0</v>
      </c>
    </row>
    <row r="682" spans="1:18" x14ac:dyDescent="0.3">
      <c r="A682" s="124">
        <v>26</v>
      </c>
      <c r="B682" s="37" t="s">
        <v>1314</v>
      </c>
      <c r="C682" s="38">
        <v>13</v>
      </c>
      <c r="D682" s="125" t="s">
        <v>1303</v>
      </c>
      <c r="E682" s="123" t="s">
        <v>1327</v>
      </c>
      <c r="F682" s="126" t="s">
        <v>52</v>
      </c>
      <c r="G682" s="131"/>
      <c r="H682" s="122" t="s">
        <v>413</v>
      </c>
      <c r="I682" s="123" t="s">
        <v>412</v>
      </c>
      <c r="J682" s="212"/>
      <c r="K682" s="212"/>
      <c r="L682" s="212"/>
      <c r="M682" s="213"/>
      <c r="N682" s="212"/>
      <c r="O682" s="212" t="s">
        <v>1383</v>
      </c>
      <c r="P682" s="212"/>
      <c r="Q682" s="106" t="b">
        <f t="shared" si="48"/>
        <v>1</v>
      </c>
      <c r="R682" s="199">
        <f t="shared" si="45"/>
        <v>1</v>
      </c>
    </row>
    <row r="683" spans="1:18" x14ac:dyDescent="0.3">
      <c r="A683" s="124">
        <v>26</v>
      </c>
      <c r="B683" s="37" t="s">
        <v>1314</v>
      </c>
      <c r="C683" s="38">
        <v>14</v>
      </c>
      <c r="D683" s="125" t="s">
        <v>1304</v>
      </c>
      <c r="E683" s="123" t="s">
        <v>1328</v>
      </c>
      <c r="F683" s="126" t="s">
        <v>52</v>
      </c>
      <c r="G683" s="131"/>
      <c r="H683" s="122" t="s">
        <v>262</v>
      </c>
      <c r="I683" s="123" t="s">
        <v>1291</v>
      </c>
      <c r="J683" s="212"/>
      <c r="K683" s="212"/>
      <c r="L683" s="212"/>
      <c r="M683" s="213"/>
      <c r="N683" s="213"/>
      <c r="O683" s="213"/>
      <c r="P683" s="212"/>
      <c r="Q683" s="106" t="b">
        <f t="shared" si="48"/>
        <v>0</v>
      </c>
      <c r="R683" s="199">
        <f t="shared" si="45"/>
        <v>0</v>
      </c>
    </row>
    <row r="684" spans="1:18" x14ac:dyDescent="0.3">
      <c r="A684" s="124">
        <v>26</v>
      </c>
      <c r="B684" s="37" t="s">
        <v>1314</v>
      </c>
      <c r="C684" s="38">
        <v>15</v>
      </c>
      <c r="D684" s="125" t="s">
        <v>1305</v>
      </c>
      <c r="E684" s="123" t="s">
        <v>1329</v>
      </c>
      <c r="F684" s="126" t="s">
        <v>52</v>
      </c>
      <c r="G684" s="131"/>
      <c r="H684" s="122" t="s">
        <v>1341</v>
      </c>
      <c r="I684" s="123" t="s">
        <v>1340</v>
      </c>
      <c r="J684" s="212"/>
      <c r="K684" s="212"/>
      <c r="L684" s="212"/>
      <c r="M684" s="213"/>
      <c r="N684" s="213"/>
      <c r="O684" s="213"/>
      <c r="P684" s="212"/>
      <c r="Q684" s="106" t="b">
        <f t="shared" si="48"/>
        <v>0</v>
      </c>
      <c r="R684" s="199">
        <f t="shared" si="45"/>
        <v>0</v>
      </c>
    </row>
    <row r="685" spans="1:18" x14ac:dyDescent="0.3">
      <c r="A685" s="124">
        <v>26</v>
      </c>
      <c r="B685" s="37" t="s">
        <v>1314</v>
      </c>
      <c r="C685" s="38">
        <v>16</v>
      </c>
      <c r="D685" s="125" t="s">
        <v>129</v>
      </c>
      <c r="E685" s="123" t="s">
        <v>1330</v>
      </c>
      <c r="F685" s="126" t="s">
        <v>52</v>
      </c>
      <c r="G685" s="131"/>
      <c r="H685" s="122" t="s">
        <v>262</v>
      </c>
      <c r="I685" s="123" t="s">
        <v>1291</v>
      </c>
      <c r="J685" s="212" t="s">
        <v>1383</v>
      </c>
      <c r="K685" s="212" t="s">
        <v>1383</v>
      </c>
      <c r="L685" s="212"/>
      <c r="M685" s="213"/>
      <c r="N685" s="212" t="s">
        <v>1383</v>
      </c>
      <c r="O685" s="212"/>
      <c r="P685" s="212" t="s">
        <v>1383</v>
      </c>
      <c r="Q685" s="106" t="b">
        <f t="shared" si="48"/>
        <v>1</v>
      </c>
      <c r="R685" s="199">
        <f t="shared" si="45"/>
        <v>4</v>
      </c>
    </row>
    <row r="686" spans="1:18" x14ac:dyDescent="0.3">
      <c r="A686" s="124">
        <v>26</v>
      </c>
      <c r="B686" s="37" t="s">
        <v>1314</v>
      </c>
      <c r="C686" s="38">
        <v>17</v>
      </c>
      <c r="D686" s="125" t="s">
        <v>1306</v>
      </c>
      <c r="E686" s="123" t="s">
        <v>1331</v>
      </c>
      <c r="F686" s="131"/>
      <c r="G686" s="128" t="s">
        <v>53</v>
      </c>
      <c r="H686" s="154" t="s">
        <v>1341</v>
      </c>
      <c r="I686" s="155" t="s">
        <v>1340</v>
      </c>
      <c r="J686" s="212"/>
      <c r="K686" s="212"/>
      <c r="L686" s="212"/>
      <c r="M686" s="213"/>
      <c r="N686" s="213"/>
      <c r="O686" s="213"/>
      <c r="P686" s="212"/>
      <c r="Q686" s="106" t="b">
        <f t="shared" si="48"/>
        <v>0</v>
      </c>
      <c r="R686" s="199">
        <f t="shared" si="45"/>
        <v>0</v>
      </c>
    </row>
    <row r="687" spans="1:18" x14ac:dyDescent="0.3">
      <c r="A687" s="124">
        <v>26</v>
      </c>
      <c r="B687" s="37" t="s">
        <v>1314</v>
      </c>
      <c r="C687" s="38">
        <v>18</v>
      </c>
      <c r="D687" s="125" t="s">
        <v>1307</v>
      </c>
      <c r="E687" s="123" t="s">
        <v>1332</v>
      </c>
      <c r="F687" s="126" t="s">
        <v>52</v>
      </c>
      <c r="G687" s="131"/>
      <c r="H687" s="122" t="s">
        <v>1341</v>
      </c>
      <c r="I687" s="123" t="s">
        <v>1340</v>
      </c>
      <c r="J687" s="212" t="s">
        <v>1383</v>
      </c>
      <c r="K687" s="212"/>
      <c r="L687" s="212"/>
      <c r="M687" s="213"/>
      <c r="N687" s="213"/>
      <c r="O687" s="213"/>
      <c r="P687" s="212"/>
      <c r="Q687" s="106" t="b">
        <f t="shared" si="48"/>
        <v>1</v>
      </c>
      <c r="R687" s="199">
        <f t="shared" si="45"/>
        <v>1</v>
      </c>
    </row>
    <row r="688" spans="1:18" x14ac:dyDescent="0.3">
      <c r="A688" s="124">
        <v>26</v>
      </c>
      <c r="B688" s="37" t="s">
        <v>1314</v>
      </c>
      <c r="C688" s="38">
        <v>19</v>
      </c>
      <c r="D688" s="125" t="s">
        <v>1308</v>
      </c>
      <c r="E688" s="123" t="s">
        <v>1333</v>
      </c>
      <c r="F688" s="126" t="s">
        <v>52</v>
      </c>
      <c r="G688" s="131"/>
      <c r="H688" s="122" t="s">
        <v>1341</v>
      </c>
      <c r="I688" s="123" t="s">
        <v>1340</v>
      </c>
      <c r="J688" s="212" t="s">
        <v>1383</v>
      </c>
      <c r="K688" s="212"/>
      <c r="L688" s="212"/>
      <c r="M688" s="213"/>
      <c r="N688" s="213"/>
      <c r="O688" s="213"/>
      <c r="P688" s="212"/>
      <c r="Q688" s="106" t="b">
        <f t="shared" si="48"/>
        <v>1</v>
      </c>
      <c r="R688" s="199">
        <f t="shared" si="45"/>
        <v>1</v>
      </c>
    </row>
    <row r="689" spans="1:18" x14ac:dyDescent="0.3">
      <c r="A689" s="124">
        <v>26</v>
      </c>
      <c r="B689" s="37" t="s">
        <v>1314</v>
      </c>
      <c r="C689" s="38">
        <v>20</v>
      </c>
      <c r="D689" s="125" t="s">
        <v>829</v>
      </c>
      <c r="E689" s="123" t="s">
        <v>1334</v>
      </c>
      <c r="F689" s="131"/>
      <c r="G689" s="128" t="s">
        <v>53</v>
      </c>
      <c r="H689" s="154" t="s">
        <v>1341</v>
      </c>
      <c r="I689" s="155" t="s">
        <v>1340</v>
      </c>
      <c r="J689" s="212"/>
      <c r="K689" s="212"/>
      <c r="L689" s="212"/>
      <c r="M689" s="213"/>
      <c r="N689" s="213"/>
      <c r="O689" s="213"/>
      <c r="P689" s="212"/>
      <c r="Q689" s="106" t="b">
        <f t="shared" si="48"/>
        <v>0</v>
      </c>
      <c r="R689" s="199">
        <f t="shared" si="45"/>
        <v>0</v>
      </c>
    </row>
    <row r="690" spans="1:18" x14ac:dyDescent="0.3">
      <c r="A690" s="124">
        <v>26</v>
      </c>
      <c r="B690" s="37" t="s">
        <v>1314</v>
      </c>
      <c r="C690" s="38">
        <v>21</v>
      </c>
      <c r="D690" s="125" t="s">
        <v>1309</v>
      </c>
      <c r="E690" s="123" t="s">
        <v>1335</v>
      </c>
      <c r="F690" s="131"/>
      <c r="G690" s="128" t="s">
        <v>53</v>
      </c>
      <c r="H690" s="154" t="s">
        <v>1341</v>
      </c>
      <c r="I690" s="155" t="s">
        <v>1340</v>
      </c>
      <c r="J690" s="212"/>
      <c r="K690" s="212"/>
      <c r="L690" s="212"/>
      <c r="M690" s="213"/>
      <c r="N690" s="213"/>
      <c r="O690" s="213"/>
      <c r="P690" s="212"/>
      <c r="Q690" s="106" t="b">
        <f t="shared" si="48"/>
        <v>0</v>
      </c>
      <c r="R690" s="199">
        <f t="shared" si="45"/>
        <v>0</v>
      </c>
    </row>
    <row r="691" spans="1:18" x14ac:dyDescent="0.3">
      <c r="A691" s="124">
        <v>26</v>
      </c>
      <c r="B691" s="37" t="s">
        <v>1314</v>
      </c>
      <c r="C691" s="38">
        <v>22</v>
      </c>
      <c r="D691" s="125" t="s">
        <v>1310</v>
      </c>
      <c r="E691" s="123" t="s">
        <v>1336</v>
      </c>
      <c r="F691" s="131"/>
      <c r="G691" s="128" t="s">
        <v>53</v>
      </c>
      <c r="H691" s="154" t="s">
        <v>1341</v>
      </c>
      <c r="I691" s="155" t="s">
        <v>1340</v>
      </c>
      <c r="J691" s="212"/>
      <c r="K691" s="212"/>
      <c r="L691" s="212"/>
      <c r="M691" s="213"/>
      <c r="N691" s="213"/>
      <c r="O691" s="213"/>
      <c r="P691" s="212"/>
      <c r="Q691" s="106" t="b">
        <f t="shared" si="48"/>
        <v>0</v>
      </c>
      <c r="R691" s="199">
        <f t="shared" si="45"/>
        <v>0</v>
      </c>
    </row>
    <row r="692" spans="1:18" x14ac:dyDescent="0.3">
      <c r="A692" s="124">
        <v>26</v>
      </c>
      <c r="B692" s="37" t="s">
        <v>1314</v>
      </c>
      <c r="C692" s="38">
        <v>23</v>
      </c>
      <c r="D692" s="125" t="s">
        <v>1311</v>
      </c>
      <c r="E692" s="123" t="s">
        <v>1337</v>
      </c>
      <c r="F692" s="126" t="s">
        <v>52</v>
      </c>
      <c r="G692" s="131"/>
      <c r="H692" s="122" t="s">
        <v>413</v>
      </c>
      <c r="I692" s="123" t="s">
        <v>412</v>
      </c>
      <c r="J692" s="212"/>
      <c r="K692" s="212"/>
      <c r="L692" s="212"/>
      <c r="M692" s="213"/>
      <c r="N692" s="213"/>
      <c r="O692" s="213"/>
      <c r="P692" s="212"/>
      <c r="Q692" s="106" t="b">
        <f t="shared" si="48"/>
        <v>0</v>
      </c>
      <c r="R692" s="199">
        <f t="shared" si="45"/>
        <v>0</v>
      </c>
    </row>
    <row r="693" spans="1:18" x14ac:dyDescent="0.3">
      <c r="A693" s="124">
        <v>26</v>
      </c>
      <c r="B693" s="37" t="s">
        <v>1314</v>
      </c>
      <c r="C693" s="38">
        <v>24</v>
      </c>
      <c r="D693" s="125" t="s">
        <v>1312</v>
      </c>
      <c r="E693" s="123" t="s">
        <v>1338</v>
      </c>
      <c r="F693" s="126" t="s">
        <v>52</v>
      </c>
      <c r="G693" s="128"/>
      <c r="H693" s="122" t="s">
        <v>1341</v>
      </c>
      <c r="I693" s="123" t="s">
        <v>1340</v>
      </c>
      <c r="J693" s="212"/>
      <c r="K693" s="212"/>
      <c r="L693" s="212"/>
      <c r="M693" s="213"/>
      <c r="N693" s="213"/>
      <c r="O693" s="213"/>
      <c r="P693" s="212"/>
      <c r="Q693" s="106" t="b">
        <f t="shared" si="48"/>
        <v>0</v>
      </c>
      <c r="R693" s="199">
        <f t="shared" si="45"/>
        <v>0</v>
      </c>
    </row>
    <row r="694" spans="1:18" ht="19.5" thickBot="1" x14ac:dyDescent="0.35">
      <c r="A694" s="161">
        <v>26</v>
      </c>
      <c r="B694" s="47" t="s">
        <v>1314</v>
      </c>
      <c r="C694" s="48">
        <v>25</v>
      </c>
      <c r="D694" s="166" t="s">
        <v>1313</v>
      </c>
      <c r="E694" s="148" t="s">
        <v>1339</v>
      </c>
      <c r="F694" s="162" t="s">
        <v>52</v>
      </c>
      <c r="G694" s="143"/>
      <c r="H694" s="147" t="s">
        <v>1342</v>
      </c>
      <c r="I694" s="148" t="s">
        <v>577</v>
      </c>
      <c r="J694" s="215"/>
      <c r="K694" s="215"/>
      <c r="L694" s="215"/>
      <c r="M694" s="216"/>
      <c r="N694" s="216"/>
      <c r="O694" s="216"/>
      <c r="P694" s="215"/>
      <c r="Q694" s="106" t="b">
        <f t="shared" si="48"/>
        <v>0</v>
      </c>
      <c r="R694" s="205">
        <f t="shared" si="45"/>
        <v>0</v>
      </c>
    </row>
    <row r="695" spans="1:18" ht="19.5" hidden="1" thickBot="1" x14ac:dyDescent="0.3">
      <c r="A695" s="137">
        <f>A694</f>
        <v>26</v>
      </c>
      <c r="B695" s="138" t="str">
        <f>B694</f>
        <v>TUKURAN</v>
      </c>
      <c r="C695" s="15">
        <f>COUNTA(C670:C694)</f>
        <v>25</v>
      </c>
      <c r="D695" s="139" t="s">
        <v>1</v>
      </c>
      <c r="E695" s="139" t="s">
        <v>1374</v>
      </c>
      <c r="F695" s="15">
        <f>COUNTA(F670:F694)</f>
        <v>17</v>
      </c>
      <c r="G695" s="15">
        <f>COUNTA(G670:G694)</f>
        <v>8</v>
      </c>
      <c r="H695" s="291" t="s">
        <v>3</v>
      </c>
      <c r="I695" s="292"/>
      <c r="J695" s="15">
        <f>COUNTA(J670:J694)</f>
        <v>6</v>
      </c>
      <c r="K695" s="15">
        <f t="shared" ref="K695:P695" si="50">COUNTA(K670:K694)</f>
        <v>3</v>
      </c>
      <c r="L695" s="15">
        <f t="shared" si="50"/>
        <v>1</v>
      </c>
      <c r="M695" s="15">
        <f t="shared" si="50"/>
        <v>0</v>
      </c>
      <c r="N695" s="15">
        <f t="shared" si="50"/>
        <v>1</v>
      </c>
      <c r="O695" s="15">
        <f t="shared" si="50"/>
        <v>1</v>
      </c>
      <c r="P695" s="15">
        <f t="shared" si="50"/>
        <v>1</v>
      </c>
      <c r="Q695" s="22">
        <f>COUNTIF(Q670:Q694,TRUE)</f>
        <v>7</v>
      </c>
      <c r="R695" s="249">
        <f>SUM(J695:P695)</f>
        <v>13</v>
      </c>
    </row>
    <row r="696" spans="1:18" x14ac:dyDescent="0.3">
      <c r="A696" s="119">
        <v>27</v>
      </c>
      <c r="B696" s="41" t="s">
        <v>1357</v>
      </c>
      <c r="C696" s="44">
        <v>1</v>
      </c>
      <c r="D696" s="150" t="s">
        <v>1343</v>
      </c>
      <c r="E696" s="153" t="s">
        <v>1358</v>
      </c>
      <c r="F696" s="151" t="s">
        <v>52</v>
      </c>
      <c r="G696" s="168"/>
      <c r="H696" s="152" t="s">
        <v>521</v>
      </c>
      <c r="I696" s="153" t="s">
        <v>525</v>
      </c>
      <c r="J696" s="218"/>
      <c r="K696" s="218"/>
      <c r="L696" s="218"/>
      <c r="M696" s="219"/>
      <c r="N696" s="219"/>
      <c r="O696" s="219"/>
      <c r="P696" s="218"/>
      <c r="Q696" s="243" t="b">
        <f t="shared" si="48"/>
        <v>0</v>
      </c>
      <c r="R696" s="208">
        <f t="shared" si="45"/>
        <v>0</v>
      </c>
    </row>
    <row r="697" spans="1:18" x14ac:dyDescent="0.3">
      <c r="A697" s="124">
        <v>27</v>
      </c>
      <c r="B697" s="37" t="s">
        <v>1357</v>
      </c>
      <c r="C697" s="38">
        <v>2</v>
      </c>
      <c r="D697" s="125" t="s">
        <v>1344</v>
      </c>
      <c r="E697" s="123" t="s">
        <v>1359</v>
      </c>
      <c r="F697" s="131"/>
      <c r="G697" s="128" t="s">
        <v>53</v>
      </c>
      <c r="H697" s="122" t="s">
        <v>1373</v>
      </c>
      <c r="I697" s="123" t="s">
        <v>1372</v>
      </c>
      <c r="J697" s="212"/>
      <c r="K697" s="212"/>
      <c r="L697" s="212"/>
      <c r="M697" s="213"/>
      <c r="N697" s="213"/>
      <c r="O697" s="213"/>
      <c r="P697" s="212"/>
      <c r="Q697" s="106" t="b">
        <f t="shared" si="48"/>
        <v>0</v>
      </c>
      <c r="R697" s="199">
        <f t="shared" si="45"/>
        <v>0</v>
      </c>
    </row>
    <row r="698" spans="1:18" x14ac:dyDescent="0.3">
      <c r="A698" s="124">
        <v>27</v>
      </c>
      <c r="B698" s="37" t="s">
        <v>1357</v>
      </c>
      <c r="C698" s="38">
        <v>3</v>
      </c>
      <c r="D698" s="125" t="s">
        <v>1345</v>
      </c>
      <c r="E698" s="123" t="s">
        <v>1360</v>
      </c>
      <c r="F698" s="126" t="s">
        <v>52</v>
      </c>
      <c r="G698" s="131"/>
      <c r="H698" s="122" t="s">
        <v>521</v>
      </c>
      <c r="I698" s="123" t="s">
        <v>525</v>
      </c>
      <c r="J698" s="212" t="s">
        <v>1383</v>
      </c>
      <c r="K698" s="212"/>
      <c r="L698" s="212"/>
      <c r="M698" s="213"/>
      <c r="N698" s="212" t="s">
        <v>1383</v>
      </c>
      <c r="O698" s="212"/>
      <c r="P698" s="212"/>
      <c r="Q698" s="106" t="b">
        <f t="shared" si="48"/>
        <v>1</v>
      </c>
      <c r="R698" s="199">
        <f t="shared" si="45"/>
        <v>2</v>
      </c>
    </row>
    <row r="699" spans="1:18" x14ac:dyDescent="0.3">
      <c r="A699" s="124">
        <v>27</v>
      </c>
      <c r="B699" s="37" t="s">
        <v>1357</v>
      </c>
      <c r="C699" s="38">
        <v>4</v>
      </c>
      <c r="D699" s="125" t="s">
        <v>1346</v>
      </c>
      <c r="E699" s="123" t="s">
        <v>1361</v>
      </c>
      <c r="F699" s="126"/>
      <c r="G699" s="128" t="s">
        <v>53</v>
      </c>
      <c r="H699" s="122" t="s">
        <v>1373</v>
      </c>
      <c r="I699" s="123" t="s">
        <v>1372</v>
      </c>
      <c r="J699" s="212"/>
      <c r="K699" s="212"/>
      <c r="L699" s="212"/>
      <c r="M699" s="213"/>
      <c r="N699" s="213"/>
      <c r="O699" s="213"/>
      <c r="P699" s="212"/>
      <c r="Q699" s="106" t="b">
        <f t="shared" si="48"/>
        <v>0</v>
      </c>
      <c r="R699" s="199">
        <f t="shared" si="45"/>
        <v>0</v>
      </c>
    </row>
    <row r="700" spans="1:18" x14ac:dyDescent="0.3">
      <c r="A700" s="124">
        <v>27</v>
      </c>
      <c r="B700" s="37" t="s">
        <v>1357</v>
      </c>
      <c r="C700" s="38">
        <v>5</v>
      </c>
      <c r="D700" s="125" t="s">
        <v>1347</v>
      </c>
      <c r="E700" s="123" t="s">
        <v>1362</v>
      </c>
      <c r="F700" s="126" t="s">
        <v>52</v>
      </c>
      <c r="G700" s="128"/>
      <c r="H700" s="122" t="s">
        <v>521</v>
      </c>
      <c r="I700" s="123" t="s">
        <v>525</v>
      </c>
      <c r="J700" s="212"/>
      <c r="K700" s="212"/>
      <c r="L700" s="212"/>
      <c r="M700" s="213"/>
      <c r="N700" s="213"/>
      <c r="O700" s="213"/>
      <c r="P700" s="212"/>
      <c r="Q700" s="106" t="b">
        <f t="shared" si="48"/>
        <v>0</v>
      </c>
      <c r="R700" s="199">
        <f t="shared" si="45"/>
        <v>0</v>
      </c>
    </row>
    <row r="701" spans="1:18" x14ac:dyDescent="0.3">
      <c r="A701" s="124">
        <v>27</v>
      </c>
      <c r="B701" s="37" t="s">
        <v>1357</v>
      </c>
      <c r="C701" s="38">
        <v>6</v>
      </c>
      <c r="D701" s="125" t="s">
        <v>1348</v>
      </c>
      <c r="E701" s="123" t="s">
        <v>1363</v>
      </c>
      <c r="F701" s="126" t="s">
        <v>52</v>
      </c>
      <c r="G701" s="131"/>
      <c r="H701" s="122" t="s">
        <v>521</v>
      </c>
      <c r="I701" s="123" t="s">
        <v>525</v>
      </c>
      <c r="J701" s="212"/>
      <c r="K701" s="212"/>
      <c r="L701" s="212"/>
      <c r="M701" s="213"/>
      <c r="N701" s="213"/>
      <c r="O701" s="213"/>
      <c r="P701" s="212"/>
      <c r="Q701" s="106" t="b">
        <f t="shared" si="48"/>
        <v>0</v>
      </c>
      <c r="R701" s="199">
        <f t="shared" si="45"/>
        <v>0</v>
      </c>
    </row>
    <row r="702" spans="1:18" x14ac:dyDescent="0.3">
      <c r="A702" s="124">
        <v>27</v>
      </c>
      <c r="B702" s="37" t="s">
        <v>1357</v>
      </c>
      <c r="C702" s="38">
        <v>7</v>
      </c>
      <c r="D702" s="125" t="s">
        <v>1349</v>
      </c>
      <c r="E702" s="123" t="s">
        <v>1364</v>
      </c>
      <c r="F702" s="126" t="s">
        <v>52</v>
      </c>
      <c r="G702" s="131"/>
      <c r="H702" s="122" t="s">
        <v>521</v>
      </c>
      <c r="I702" s="123" t="s">
        <v>525</v>
      </c>
      <c r="J702" s="212"/>
      <c r="K702" s="212"/>
      <c r="L702" s="212"/>
      <c r="M702" s="213"/>
      <c r="N702" s="213"/>
      <c r="O702" s="213"/>
      <c r="P702" s="212"/>
      <c r="Q702" s="106" t="b">
        <f t="shared" si="48"/>
        <v>0</v>
      </c>
      <c r="R702" s="199">
        <f t="shared" si="45"/>
        <v>0</v>
      </c>
    </row>
    <row r="703" spans="1:18" x14ac:dyDescent="0.3">
      <c r="A703" s="124">
        <v>27</v>
      </c>
      <c r="B703" s="37" t="s">
        <v>1357</v>
      </c>
      <c r="C703" s="38">
        <v>8</v>
      </c>
      <c r="D703" s="125" t="s">
        <v>1350</v>
      </c>
      <c r="E703" s="123" t="s">
        <v>1365</v>
      </c>
      <c r="F703" s="131"/>
      <c r="G703" s="128" t="s">
        <v>53</v>
      </c>
      <c r="H703" s="122" t="s">
        <v>1373</v>
      </c>
      <c r="I703" s="123" t="s">
        <v>1372</v>
      </c>
      <c r="J703" s="212"/>
      <c r="K703" s="212"/>
      <c r="L703" s="212"/>
      <c r="M703" s="213"/>
      <c r="N703" s="213"/>
      <c r="O703" s="213"/>
      <c r="P703" s="212"/>
      <c r="Q703" s="106" t="b">
        <f t="shared" si="48"/>
        <v>0</v>
      </c>
      <c r="R703" s="199">
        <f t="shared" si="45"/>
        <v>0</v>
      </c>
    </row>
    <row r="704" spans="1:18" x14ac:dyDescent="0.3">
      <c r="A704" s="124">
        <v>27</v>
      </c>
      <c r="B704" s="37" t="s">
        <v>1357</v>
      </c>
      <c r="C704" s="38">
        <v>9</v>
      </c>
      <c r="D704" s="125" t="s">
        <v>1351</v>
      </c>
      <c r="E704" s="123" t="s">
        <v>1366</v>
      </c>
      <c r="F704" s="131"/>
      <c r="G704" s="128" t="s">
        <v>53</v>
      </c>
      <c r="H704" s="122" t="s">
        <v>1373</v>
      </c>
      <c r="I704" s="123" t="s">
        <v>1372</v>
      </c>
      <c r="J704" s="212"/>
      <c r="K704" s="212"/>
      <c r="L704" s="212"/>
      <c r="M704" s="213"/>
      <c r="N704" s="213"/>
      <c r="O704" s="213"/>
      <c r="P704" s="212"/>
      <c r="Q704" s="106" t="b">
        <f t="shared" si="48"/>
        <v>0</v>
      </c>
      <c r="R704" s="199">
        <f t="shared" si="45"/>
        <v>0</v>
      </c>
    </row>
    <row r="705" spans="1:18" x14ac:dyDescent="0.3">
      <c r="A705" s="124">
        <v>27</v>
      </c>
      <c r="B705" s="37" t="s">
        <v>1357</v>
      </c>
      <c r="C705" s="38">
        <v>10</v>
      </c>
      <c r="D705" s="125" t="s">
        <v>1352</v>
      </c>
      <c r="E705" s="123" t="s">
        <v>1367</v>
      </c>
      <c r="F705" s="131"/>
      <c r="G705" s="128" t="s">
        <v>53</v>
      </c>
      <c r="H705" s="122" t="s">
        <v>1373</v>
      </c>
      <c r="I705" s="123" t="s">
        <v>1372</v>
      </c>
      <c r="J705" s="212"/>
      <c r="K705" s="212"/>
      <c r="L705" s="212"/>
      <c r="M705" s="213"/>
      <c r="N705" s="213"/>
      <c r="O705" s="213"/>
      <c r="P705" s="212"/>
      <c r="Q705" s="106" t="b">
        <f t="shared" si="48"/>
        <v>0</v>
      </c>
      <c r="R705" s="199">
        <f t="shared" si="45"/>
        <v>0</v>
      </c>
    </row>
    <row r="706" spans="1:18" x14ac:dyDescent="0.3">
      <c r="A706" s="124">
        <v>27</v>
      </c>
      <c r="B706" s="37" t="s">
        <v>1357</v>
      </c>
      <c r="C706" s="38">
        <v>11</v>
      </c>
      <c r="D706" s="125" t="s">
        <v>1353</v>
      </c>
      <c r="E706" s="123" t="s">
        <v>1368</v>
      </c>
      <c r="F706" s="126" t="s">
        <v>52</v>
      </c>
      <c r="G706" s="131"/>
      <c r="H706" s="122" t="s">
        <v>1373</v>
      </c>
      <c r="I706" s="123" t="s">
        <v>1372</v>
      </c>
      <c r="J706" s="212" t="s">
        <v>1383</v>
      </c>
      <c r="K706" s="212"/>
      <c r="L706" s="212"/>
      <c r="M706" s="213"/>
      <c r="N706" s="213"/>
      <c r="O706" s="213"/>
      <c r="P706" s="212"/>
      <c r="Q706" s="106" t="b">
        <f t="shared" si="48"/>
        <v>1</v>
      </c>
      <c r="R706" s="199">
        <f t="shared" si="45"/>
        <v>1</v>
      </c>
    </row>
    <row r="707" spans="1:18" x14ac:dyDescent="0.3">
      <c r="A707" s="124">
        <v>27</v>
      </c>
      <c r="B707" s="37" t="s">
        <v>1357</v>
      </c>
      <c r="C707" s="38">
        <v>12</v>
      </c>
      <c r="D707" s="125" t="s">
        <v>1354</v>
      </c>
      <c r="E707" s="123" t="s">
        <v>1369</v>
      </c>
      <c r="F707" s="126" t="s">
        <v>52</v>
      </c>
      <c r="G707" s="131"/>
      <c r="H707" s="122" t="s">
        <v>521</v>
      </c>
      <c r="I707" s="123" t="s">
        <v>525</v>
      </c>
      <c r="J707" s="212"/>
      <c r="K707" s="212"/>
      <c r="L707" s="212"/>
      <c r="M707" s="213"/>
      <c r="N707" s="213"/>
      <c r="O707" s="213"/>
      <c r="P707" s="212"/>
      <c r="Q707" s="106" t="b">
        <f t="shared" si="48"/>
        <v>0</v>
      </c>
      <c r="R707" s="199">
        <f t="shared" si="45"/>
        <v>0</v>
      </c>
    </row>
    <row r="708" spans="1:18" x14ac:dyDescent="0.3">
      <c r="A708" s="124">
        <v>27</v>
      </c>
      <c r="B708" s="37" t="s">
        <v>1357</v>
      </c>
      <c r="C708" s="38">
        <v>13</v>
      </c>
      <c r="D708" s="125" t="s">
        <v>1355</v>
      </c>
      <c r="E708" s="123" t="s">
        <v>1370</v>
      </c>
      <c r="F708" s="131"/>
      <c r="G708" s="128" t="s">
        <v>53</v>
      </c>
      <c r="H708" s="122" t="s">
        <v>1373</v>
      </c>
      <c r="I708" s="123" t="s">
        <v>1372</v>
      </c>
      <c r="J708" s="212"/>
      <c r="K708" s="212"/>
      <c r="L708" s="212"/>
      <c r="M708" s="213"/>
      <c r="N708" s="213"/>
      <c r="O708" s="213"/>
      <c r="P708" s="212"/>
      <c r="Q708" s="106" t="b">
        <f t="shared" si="48"/>
        <v>0</v>
      </c>
      <c r="R708" s="199">
        <f t="shared" ref="R708:R709" si="51">COUNTA(J708:P708)</f>
        <v>0</v>
      </c>
    </row>
    <row r="709" spans="1:18" ht="19.5" thickBot="1" x14ac:dyDescent="0.35">
      <c r="A709" s="132">
        <v>27</v>
      </c>
      <c r="B709" s="39" t="s">
        <v>1357</v>
      </c>
      <c r="C709" s="45">
        <v>14</v>
      </c>
      <c r="D709" s="133" t="s">
        <v>1356</v>
      </c>
      <c r="E709" s="159" t="s">
        <v>1371</v>
      </c>
      <c r="F709" s="157" t="s">
        <v>52</v>
      </c>
      <c r="G709" s="174"/>
      <c r="H709" s="158" t="s">
        <v>521</v>
      </c>
      <c r="I709" s="159" t="s">
        <v>525</v>
      </c>
      <c r="J709" s="221"/>
      <c r="K709" s="221"/>
      <c r="L709" s="221"/>
      <c r="M709" s="222"/>
      <c r="N709" s="222"/>
      <c r="O709" s="222"/>
      <c r="P709" s="221"/>
      <c r="Q709" s="244" t="b">
        <f t="shared" si="48"/>
        <v>0</v>
      </c>
      <c r="R709" s="202">
        <f t="shared" si="51"/>
        <v>0</v>
      </c>
    </row>
    <row r="710" spans="1:18" ht="19.5" hidden="1" thickBot="1" x14ac:dyDescent="0.3">
      <c r="A710" s="137">
        <f>A709</f>
        <v>27</v>
      </c>
      <c r="B710" s="138" t="str">
        <f>B709</f>
        <v>VINCENZO SAGON</v>
      </c>
      <c r="C710" s="15">
        <f>COUNTA(C696:C709)</f>
        <v>14</v>
      </c>
      <c r="D710" s="139" t="s">
        <v>1</v>
      </c>
      <c r="E710" s="139" t="s">
        <v>1374</v>
      </c>
      <c r="F710" s="15">
        <f>COUNTA(F696:F709)</f>
        <v>8</v>
      </c>
      <c r="G710" s="15">
        <f>COUNTA(G696:G709)</f>
        <v>6</v>
      </c>
      <c r="H710" s="297" t="s">
        <v>3</v>
      </c>
      <c r="I710" s="297"/>
      <c r="J710" s="15">
        <f t="shared" ref="J710:P710" si="52">COUNTA(J696:J709)</f>
        <v>2</v>
      </c>
      <c r="K710" s="15">
        <f t="shared" si="52"/>
        <v>0</v>
      </c>
      <c r="L710" s="15">
        <f t="shared" si="52"/>
        <v>0</v>
      </c>
      <c r="M710" s="15">
        <f t="shared" si="52"/>
        <v>0</v>
      </c>
      <c r="N710" s="15">
        <f t="shared" si="52"/>
        <v>1</v>
      </c>
      <c r="O710" s="15">
        <f t="shared" si="52"/>
        <v>0</v>
      </c>
      <c r="P710" s="15">
        <f t="shared" si="52"/>
        <v>0</v>
      </c>
      <c r="Q710" s="22">
        <f>COUNTIF(Q696:Q709,TRUE)</f>
        <v>2</v>
      </c>
      <c r="R710" s="251">
        <f>SUM(R696:R709)</f>
        <v>3</v>
      </c>
    </row>
    <row r="711" spans="1:18" x14ac:dyDescent="0.25">
      <c r="A711" s="55"/>
      <c r="B711" s="55"/>
      <c r="C711" s="70"/>
      <c r="D711" s="55"/>
      <c r="E711" s="55"/>
      <c r="F711" s="70"/>
      <c r="G711" s="70"/>
      <c r="H711" s="55"/>
      <c r="I711" s="55"/>
      <c r="J711" s="70"/>
      <c r="K711" s="70"/>
      <c r="L711" s="70"/>
      <c r="M711" s="70"/>
      <c r="N711" s="70"/>
      <c r="O711" s="70"/>
      <c r="P711" s="70"/>
      <c r="Q711" s="70"/>
      <c r="R711" s="54"/>
    </row>
    <row r="712" spans="1:18" x14ac:dyDescent="0.25">
      <c r="A712" s="118" t="s">
        <v>1407</v>
      </c>
      <c r="B712" s="118"/>
      <c r="C712" s="117"/>
      <c r="D712" s="117"/>
      <c r="E712" s="117"/>
      <c r="F712" s="117"/>
      <c r="G712" s="117"/>
      <c r="H712" s="117"/>
      <c r="I712" s="117"/>
      <c r="J712" s="117"/>
      <c r="K712" s="117"/>
      <c r="L712" s="70"/>
      <c r="M712" s="70"/>
      <c r="N712" s="70"/>
      <c r="O712" s="70"/>
      <c r="P712" s="70"/>
      <c r="Q712" s="70"/>
      <c r="R712" s="54"/>
    </row>
    <row r="713" spans="1:18" x14ac:dyDescent="0.25">
      <c r="A713" s="33"/>
      <c r="B713" s="259" t="s">
        <v>1408</v>
      </c>
      <c r="C713" s="27"/>
      <c r="D713" s="27"/>
      <c r="E713" s="27"/>
      <c r="F713" s="27"/>
      <c r="G713" s="27"/>
      <c r="H713" s="27"/>
      <c r="I713" s="27"/>
      <c r="J713" s="27"/>
      <c r="K713" s="27"/>
    </row>
    <row r="714" spans="1:18" x14ac:dyDescent="0.3">
      <c r="B714" s="56"/>
      <c r="C714" s="57"/>
    </row>
    <row r="715" spans="1:18" x14ac:dyDescent="0.3">
      <c r="B715" s="56"/>
      <c r="C715" s="57"/>
    </row>
    <row r="716" spans="1:18" x14ac:dyDescent="0.3">
      <c r="B716" s="56"/>
      <c r="C716" s="57"/>
    </row>
    <row r="717" spans="1:18" x14ac:dyDescent="0.3">
      <c r="B717" s="56"/>
      <c r="C717" s="57"/>
    </row>
    <row r="718" spans="1:18" x14ac:dyDescent="0.3">
      <c r="B718" s="56"/>
      <c r="C718" s="57"/>
    </row>
    <row r="719" spans="1:18" x14ac:dyDescent="0.3">
      <c r="B719" s="56"/>
      <c r="C719" s="57"/>
    </row>
    <row r="720" spans="1:18" x14ac:dyDescent="0.3">
      <c r="B720" s="56"/>
      <c r="C720" s="57"/>
    </row>
    <row r="721" spans="2:3" x14ac:dyDescent="0.3">
      <c r="B721" s="56"/>
      <c r="C721" s="57"/>
    </row>
    <row r="722" spans="2:3" x14ac:dyDescent="0.3">
      <c r="B722" s="56"/>
      <c r="C722" s="57"/>
    </row>
    <row r="723" spans="2:3" x14ac:dyDescent="0.3">
      <c r="B723" s="56"/>
      <c r="C723" s="57"/>
    </row>
    <row r="724" spans="2:3" x14ac:dyDescent="0.3">
      <c r="B724" s="56"/>
      <c r="C724" s="57"/>
    </row>
    <row r="725" spans="2:3" x14ac:dyDescent="0.3">
      <c r="B725" s="56"/>
      <c r="C725" s="57"/>
    </row>
    <row r="726" spans="2:3" x14ac:dyDescent="0.3">
      <c r="B726" s="56"/>
      <c r="C726" s="57"/>
    </row>
    <row r="727" spans="2:3" x14ac:dyDescent="0.3">
      <c r="B727" s="56"/>
      <c r="C727" s="57"/>
    </row>
    <row r="728" spans="2:3" x14ac:dyDescent="0.3">
      <c r="B728" s="56"/>
      <c r="C728" s="57"/>
    </row>
    <row r="729" spans="2:3" x14ac:dyDescent="0.3">
      <c r="B729" s="56"/>
      <c r="C729" s="57"/>
    </row>
    <row r="730" spans="2:3" x14ac:dyDescent="0.3">
      <c r="B730" s="56"/>
      <c r="C730" s="57"/>
    </row>
    <row r="731" spans="2:3" x14ac:dyDescent="0.3">
      <c r="B731" s="56"/>
      <c r="C731" s="57"/>
    </row>
    <row r="732" spans="2:3" x14ac:dyDescent="0.3">
      <c r="B732" s="56"/>
      <c r="C732" s="57"/>
    </row>
    <row r="733" spans="2:3" x14ac:dyDescent="0.3">
      <c r="B733" s="56"/>
      <c r="C733" s="57"/>
    </row>
    <row r="734" spans="2:3" x14ac:dyDescent="0.3">
      <c r="B734" s="56"/>
      <c r="C734" s="57"/>
    </row>
    <row r="735" spans="2:3" x14ac:dyDescent="0.3">
      <c r="B735" s="56"/>
      <c r="C735" s="57"/>
    </row>
    <row r="736" spans="2:3" x14ac:dyDescent="0.3">
      <c r="B736" s="56"/>
      <c r="C736" s="57"/>
    </row>
    <row r="737" spans="2:3" x14ac:dyDescent="0.3">
      <c r="B737" s="56"/>
      <c r="C737" s="57"/>
    </row>
    <row r="738" spans="2:3" x14ac:dyDescent="0.3">
      <c r="B738" s="56"/>
      <c r="C738" s="57"/>
    </row>
    <row r="739" spans="2:3" x14ac:dyDescent="0.3">
      <c r="B739" s="56"/>
      <c r="C739" s="57"/>
    </row>
    <row r="740" spans="2:3" x14ac:dyDescent="0.3">
      <c r="B740" s="56"/>
      <c r="C740" s="57"/>
    </row>
    <row r="741" spans="2:3" x14ac:dyDescent="0.3">
      <c r="B741" s="3"/>
      <c r="C741" s="53"/>
    </row>
    <row r="742" spans="2:3" x14ac:dyDescent="0.3">
      <c r="B742" s="54"/>
      <c r="C742" s="55"/>
    </row>
    <row r="743" spans="2:3" x14ac:dyDescent="0.3">
      <c r="B743" s="56"/>
      <c r="C743" s="57"/>
    </row>
    <row r="744" spans="2:3" x14ac:dyDescent="0.3">
      <c r="B744" s="56"/>
      <c r="C744" s="57"/>
    </row>
    <row r="745" spans="2:3" x14ac:dyDescent="0.3">
      <c r="B745" s="56"/>
      <c r="C745" s="57"/>
    </row>
    <row r="746" spans="2:3" x14ac:dyDescent="0.3">
      <c r="B746" s="56"/>
      <c r="C746" s="57"/>
    </row>
    <row r="747" spans="2:3" x14ac:dyDescent="0.3">
      <c r="B747" s="56"/>
      <c r="C747" s="57"/>
    </row>
    <row r="748" spans="2:3" x14ac:dyDescent="0.3">
      <c r="B748" s="56"/>
      <c r="C748" s="57"/>
    </row>
    <row r="749" spans="2:3" x14ac:dyDescent="0.3">
      <c r="B749" s="56"/>
      <c r="C749" s="57"/>
    </row>
    <row r="750" spans="2:3" x14ac:dyDescent="0.3">
      <c r="B750" s="56"/>
      <c r="C750" s="57"/>
    </row>
    <row r="751" spans="2:3" x14ac:dyDescent="0.3">
      <c r="B751" s="56"/>
      <c r="C751" s="57"/>
    </row>
    <row r="752" spans="2:3" x14ac:dyDescent="0.3">
      <c r="B752" s="56"/>
      <c r="C752" s="57"/>
    </row>
    <row r="753" spans="2:3" x14ac:dyDescent="0.3">
      <c r="B753" s="56"/>
      <c r="C753" s="57"/>
    </row>
    <row r="754" spans="2:3" x14ac:dyDescent="0.3">
      <c r="B754" s="56"/>
      <c r="C754" s="57"/>
    </row>
    <row r="755" spans="2:3" x14ac:dyDescent="0.3">
      <c r="B755" s="56"/>
      <c r="C755" s="57"/>
    </row>
    <row r="756" spans="2:3" x14ac:dyDescent="0.3">
      <c r="B756" s="56"/>
      <c r="C756" s="57"/>
    </row>
    <row r="757" spans="2:3" x14ac:dyDescent="0.3">
      <c r="B757" s="56"/>
      <c r="C757" s="57"/>
    </row>
    <row r="758" spans="2:3" x14ac:dyDescent="0.3">
      <c r="B758" s="56"/>
      <c r="C758" s="57"/>
    </row>
    <row r="759" spans="2:3" x14ac:dyDescent="0.3">
      <c r="B759" s="56"/>
      <c r="C759" s="57"/>
    </row>
    <row r="760" spans="2:3" x14ac:dyDescent="0.3">
      <c r="B760" s="3"/>
      <c r="C760" s="53"/>
    </row>
    <row r="761" spans="2:3" x14ac:dyDescent="0.3">
      <c r="B761" s="54"/>
      <c r="C761" s="55"/>
    </row>
    <row r="762" spans="2:3" x14ac:dyDescent="0.3">
      <c r="B762" s="56"/>
      <c r="C762" s="57"/>
    </row>
    <row r="763" spans="2:3" x14ac:dyDescent="0.3">
      <c r="B763" s="56"/>
      <c r="C763" s="57"/>
    </row>
    <row r="764" spans="2:3" x14ac:dyDescent="0.3">
      <c r="B764" s="56"/>
      <c r="C764" s="57"/>
    </row>
    <row r="765" spans="2:3" x14ac:dyDescent="0.3">
      <c r="B765" s="56"/>
      <c r="C765" s="57"/>
    </row>
    <row r="766" spans="2:3" x14ac:dyDescent="0.3">
      <c r="B766" s="56"/>
      <c r="C766" s="57"/>
    </row>
    <row r="767" spans="2:3" x14ac:dyDescent="0.3">
      <c r="B767" s="56"/>
      <c r="C767" s="57"/>
    </row>
    <row r="768" spans="2:3" x14ac:dyDescent="0.3">
      <c r="B768" s="56"/>
      <c r="C768" s="57"/>
    </row>
    <row r="769" spans="2:3" x14ac:dyDescent="0.3">
      <c r="B769" s="56"/>
      <c r="C769" s="57"/>
    </row>
    <row r="770" spans="2:3" x14ac:dyDescent="0.3">
      <c r="B770" s="56"/>
      <c r="C770" s="57"/>
    </row>
    <row r="771" spans="2:3" x14ac:dyDescent="0.3">
      <c r="B771" s="56"/>
      <c r="C771" s="57"/>
    </row>
    <row r="772" spans="2:3" x14ac:dyDescent="0.3">
      <c r="B772" s="56"/>
      <c r="C772" s="57"/>
    </row>
    <row r="773" spans="2:3" x14ac:dyDescent="0.3">
      <c r="B773" s="56"/>
      <c r="C773" s="57"/>
    </row>
    <row r="774" spans="2:3" x14ac:dyDescent="0.3">
      <c r="B774" s="56"/>
      <c r="C774" s="57"/>
    </row>
    <row r="775" spans="2:3" x14ac:dyDescent="0.3">
      <c r="B775" s="56"/>
      <c r="C775" s="57"/>
    </row>
    <row r="776" spans="2:3" x14ac:dyDescent="0.3">
      <c r="B776" s="56"/>
      <c r="C776" s="57"/>
    </row>
    <row r="777" spans="2:3" x14ac:dyDescent="0.3">
      <c r="B777" s="56"/>
      <c r="C777" s="57"/>
    </row>
    <row r="778" spans="2:3" x14ac:dyDescent="0.3">
      <c r="B778" s="56"/>
      <c r="C778" s="57"/>
    </row>
    <row r="779" spans="2:3" x14ac:dyDescent="0.3">
      <c r="B779" s="56"/>
      <c r="C779" s="57"/>
    </row>
    <row r="780" spans="2:3" x14ac:dyDescent="0.3">
      <c r="B780" s="56"/>
      <c r="C780" s="57"/>
    </row>
    <row r="781" spans="2:3" x14ac:dyDescent="0.3">
      <c r="B781" s="56"/>
      <c r="C781" s="57"/>
    </row>
    <row r="782" spans="2:3" x14ac:dyDescent="0.3">
      <c r="B782" s="56"/>
      <c r="C782" s="57"/>
    </row>
    <row r="783" spans="2:3" x14ac:dyDescent="0.3">
      <c r="B783" s="56"/>
      <c r="C783" s="57"/>
    </row>
    <row r="784" spans="2:3" x14ac:dyDescent="0.3">
      <c r="B784" s="56"/>
      <c r="C784" s="57"/>
    </row>
    <row r="785" spans="2:3" x14ac:dyDescent="0.3">
      <c r="B785" s="56"/>
      <c r="C785" s="57"/>
    </row>
    <row r="786" spans="2:3" x14ac:dyDescent="0.3">
      <c r="B786" s="56"/>
      <c r="C786" s="57"/>
    </row>
    <row r="787" spans="2:3" x14ac:dyDescent="0.3">
      <c r="B787" s="56"/>
      <c r="C787" s="57"/>
    </row>
    <row r="788" spans="2:3" x14ac:dyDescent="0.3">
      <c r="B788" s="56"/>
      <c r="C788" s="57"/>
    </row>
    <row r="789" spans="2:3" x14ac:dyDescent="0.3">
      <c r="B789" s="56"/>
      <c r="C789" s="57"/>
    </row>
    <row r="790" spans="2:3" x14ac:dyDescent="0.3">
      <c r="B790" s="56"/>
      <c r="C790" s="57"/>
    </row>
    <row r="791" spans="2:3" x14ac:dyDescent="0.3">
      <c r="B791" s="56"/>
      <c r="C791" s="57"/>
    </row>
    <row r="792" spans="2:3" x14ac:dyDescent="0.3">
      <c r="B792" s="56"/>
      <c r="C792" s="57"/>
    </row>
    <row r="793" spans="2:3" x14ac:dyDescent="0.3">
      <c r="B793" s="56"/>
      <c r="C793" s="57"/>
    </row>
    <row r="794" spans="2:3" x14ac:dyDescent="0.3">
      <c r="B794" s="56"/>
      <c r="C794" s="57"/>
    </row>
    <row r="795" spans="2:3" x14ac:dyDescent="0.3">
      <c r="B795" s="3"/>
      <c r="C795" s="53"/>
    </row>
    <row r="796" spans="2:3" x14ac:dyDescent="0.3">
      <c r="B796" s="54"/>
      <c r="C796" s="55"/>
    </row>
    <row r="797" spans="2:3" x14ac:dyDescent="0.3">
      <c r="B797" s="56"/>
      <c r="C797" s="57"/>
    </row>
    <row r="798" spans="2:3" x14ac:dyDescent="0.3">
      <c r="B798" s="56"/>
      <c r="C798" s="57"/>
    </row>
    <row r="799" spans="2:3" x14ac:dyDescent="0.3">
      <c r="B799" s="56"/>
      <c r="C799" s="57"/>
    </row>
    <row r="800" spans="2:3" x14ac:dyDescent="0.3">
      <c r="B800" s="56"/>
      <c r="C800" s="57"/>
    </row>
    <row r="801" spans="2:3" x14ac:dyDescent="0.3">
      <c r="B801" s="56"/>
      <c r="C801" s="57"/>
    </row>
    <row r="802" spans="2:3" x14ac:dyDescent="0.3">
      <c r="B802" s="56"/>
      <c r="C802" s="57"/>
    </row>
    <row r="803" spans="2:3" x14ac:dyDescent="0.3">
      <c r="B803" s="56"/>
      <c r="C803" s="57"/>
    </row>
    <row r="804" spans="2:3" x14ac:dyDescent="0.3">
      <c r="B804" s="56"/>
      <c r="C804" s="57"/>
    </row>
    <row r="805" spans="2:3" x14ac:dyDescent="0.3">
      <c r="B805" s="56"/>
      <c r="C805" s="57"/>
    </row>
    <row r="806" spans="2:3" x14ac:dyDescent="0.3">
      <c r="B806" s="56"/>
      <c r="C806" s="57"/>
    </row>
    <row r="807" spans="2:3" x14ac:dyDescent="0.3">
      <c r="B807" s="56"/>
      <c r="C807" s="57"/>
    </row>
    <row r="808" spans="2:3" x14ac:dyDescent="0.3">
      <c r="B808" s="56"/>
      <c r="C808" s="57"/>
    </row>
    <row r="809" spans="2:3" x14ac:dyDescent="0.3">
      <c r="B809" s="56"/>
      <c r="C809" s="57"/>
    </row>
    <row r="810" spans="2:3" x14ac:dyDescent="0.3">
      <c r="B810" s="56"/>
      <c r="C810" s="57"/>
    </row>
    <row r="811" spans="2:3" x14ac:dyDescent="0.3">
      <c r="B811" s="56"/>
      <c r="C811" s="57"/>
    </row>
    <row r="812" spans="2:3" x14ac:dyDescent="0.3">
      <c r="B812" s="56"/>
      <c r="C812" s="57"/>
    </row>
    <row r="813" spans="2:3" x14ac:dyDescent="0.3">
      <c r="B813" s="56"/>
      <c r="C813" s="57"/>
    </row>
    <row r="814" spans="2:3" x14ac:dyDescent="0.3">
      <c r="B814" s="56"/>
      <c r="C814" s="57"/>
    </row>
    <row r="815" spans="2:3" x14ac:dyDescent="0.3">
      <c r="B815" s="56"/>
      <c r="C815" s="57"/>
    </row>
    <row r="816" spans="2:3" x14ac:dyDescent="0.3">
      <c r="B816" s="56"/>
      <c r="C816" s="57"/>
    </row>
    <row r="817" spans="2:3" x14ac:dyDescent="0.3">
      <c r="B817" s="56"/>
      <c r="C817" s="57"/>
    </row>
    <row r="818" spans="2:3" x14ac:dyDescent="0.3">
      <c r="B818" s="56"/>
      <c r="C818" s="57"/>
    </row>
    <row r="819" spans="2:3" x14ac:dyDescent="0.3">
      <c r="B819" s="56"/>
      <c r="C819" s="57"/>
    </row>
    <row r="820" spans="2:3" x14ac:dyDescent="0.3">
      <c r="B820" s="56"/>
      <c r="C820" s="57"/>
    </row>
    <row r="821" spans="2:3" x14ac:dyDescent="0.3">
      <c r="B821" s="56"/>
      <c r="C821" s="57"/>
    </row>
    <row r="822" spans="2:3" x14ac:dyDescent="0.3">
      <c r="B822" s="3"/>
      <c r="C822" s="53"/>
    </row>
    <row r="823" spans="2:3" x14ac:dyDescent="0.3">
      <c r="B823" s="54"/>
      <c r="C823" s="55"/>
    </row>
    <row r="824" spans="2:3" x14ac:dyDescent="0.3">
      <c r="B824" s="56"/>
      <c r="C824" s="57"/>
    </row>
    <row r="825" spans="2:3" x14ac:dyDescent="0.3">
      <c r="B825" s="56"/>
      <c r="C825" s="57"/>
    </row>
    <row r="826" spans="2:3" x14ac:dyDescent="0.3">
      <c r="B826" s="56"/>
      <c r="C826" s="57"/>
    </row>
    <row r="827" spans="2:3" x14ac:dyDescent="0.3">
      <c r="B827" s="56"/>
      <c r="C827" s="57"/>
    </row>
    <row r="828" spans="2:3" x14ac:dyDescent="0.3">
      <c r="B828" s="56"/>
      <c r="C828" s="57"/>
    </row>
    <row r="829" spans="2:3" x14ac:dyDescent="0.3">
      <c r="B829" s="56"/>
      <c r="C829" s="57"/>
    </row>
    <row r="830" spans="2:3" x14ac:dyDescent="0.3">
      <c r="B830" s="56"/>
      <c r="C830" s="57"/>
    </row>
    <row r="831" spans="2:3" x14ac:dyDescent="0.3">
      <c r="B831" s="56"/>
      <c r="C831" s="57"/>
    </row>
    <row r="832" spans="2:3" x14ac:dyDescent="0.3">
      <c r="B832" s="56"/>
      <c r="C832" s="57"/>
    </row>
    <row r="833" spans="2:3" x14ac:dyDescent="0.3">
      <c r="B833" s="56"/>
      <c r="C833" s="57"/>
    </row>
    <row r="834" spans="2:3" x14ac:dyDescent="0.3">
      <c r="B834" s="56"/>
      <c r="C834" s="57"/>
    </row>
    <row r="835" spans="2:3" x14ac:dyDescent="0.3">
      <c r="B835" s="56"/>
      <c r="C835" s="57"/>
    </row>
    <row r="836" spans="2:3" x14ac:dyDescent="0.3">
      <c r="B836" s="56"/>
      <c r="C836" s="57"/>
    </row>
    <row r="837" spans="2:3" x14ac:dyDescent="0.3">
      <c r="B837" s="56"/>
      <c r="C837" s="57"/>
    </row>
    <row r="838" spans="2:3" x14ac:dyDescent="0.3">
      <c r="B838" s="56"/>
      <c r="C838" s="57"/>
    </row>
    <row r="839" spans="2:3" x14ac:dyDescent="0.3">
      <c r="B839" s="56"/>
      <c r="C839" s="57"/>
    </row>
    <row r="840" spans="2:3" x14ac:dyDescent="0.3">
      <c r="B840" s="56"/>
      <c r="C840" s="57"/>
    </row>
    <row r="841" spans="2:3" x14ac:dyDescent="0.3">
      <c r="B841" s="56"/>
      <c r="C841" s="57"/>
    </row>
    <row r="842" spans="2:3" x14ac:dyDescent="0.3">
      <c r="B842" s="56"/>
      <c r="C842" s="57"/>
    </row>
    <row r="843" spans="2:3" x14ac:dyDescent="0.3">
      <c r="B843" s="56"/>
      <c r="C843" s="57"/>
    </row>
    <row r="844" spans="2:3" x14ac:dyDescent="0.3">
      <c r="B844" s="56"/>
      <c r="C844" s="57"/>
    </row>
    <row r="845" spans="2:3" x14ac:dyDescent="0.3">
      <c r="B845" s="56"/>
      <c r="C845" s="57"/>
    </row>
    <row r="846" spans="2:3" x14ac:dyDescent="0.3">
      <c r="B846" s="56"/>
      <c r="C846" s="57"/>
    </row>
    <row r="847" spans="2:3" x14ac:dyDescent="0.3">
      <c r="B847" s="56"/>
      <c r="C847" s="57"/>
    </row>
    <row r="848" spans="2:3" x14ac:dyDescent="0.3">
      <c r="B848" s="56"/>
      <c r="C848" s="57"/>
    </row>
    <row r="849" spans="2:3" x14ac:dyDescent="0.3">
      <c r="B849" s="56"/>
      <c r="C849" s="57"/>
    </row>
    <row r="850" spans="2:3" x14ac:dyDescent="0.3">
      <c r="B850" s="56"/>
      <c r="C850" s="57"/>
    </row>
    <row r="851" spans="2:3" x14ac:dyDescent="0.3">
      <c r="B851" s="56"/>
      <c r="C851" s="57"/>
    </row>
    <row r="852" spans="2:3" x14ac:dyDescent="0.3">
      <c r="B852" s="56"/>
      <c r="C852" s="57"/>
    </row>
    <row r="853" spans="2:3" x14ac:dyDescent="0.3">
      <c r="B853" s="56"/>
      <c r="C853" s="57"/>
    </row>
    <row r="854" spans="2:3" x14ac:dyDescent="0.3">
      <c r="B854" s="56"/>
      <c r="C854" s="57"/>
    </row>
    <row r="855" spans="2:3" x14ac:dyDescent="0.3">
      <c r="B855" s="56"/>
      <c r="C855" s="57"/>
    </row>
    <row r="856" spans="2:3" x14ac:dyDescent="0.3">
      <c r="B856" s="56"/>
      <c r="C856" s="57"/>
    </row>
    <row r="857" spans="2:3" x14ac:dyDescent="0.3">
      <c r="B857" s="56"/>
      <c r="C857" s="57"/>
    </row>
    <row r="858" spans="2:3" x14ac:dyDescent="0.3">
      <c r="B858" s="56"/>
      <c r="C858" s="57"/>
    </row>
    <row r="859" spans="2:3" x14ac:dyDescent="0.3">
      <c r="B859" s="56"/>
      <c r="C859" s="57"/>
    </row>
    <row r="860" spans="2:3" x14ac:dyDescent="0.3">
      <c r="B860" s="56"/>
      <c r="C860" s="57"/>
    </row>
    <row r="861" spans="2:3" x14ac:dyDescent="0.3">
      <c r="B861" s="56"/>
      <c r="C861" s="57"/>
    </row>
    <row r="862" spans="2:3" x14ac:dyDescent="0.3">
      <c r="B862" s="56"/>
      <c r="C862" s="57"/>
    </row>
    <row r="863" spans="2:3" x14ac:dyDescent="0.3">
      <c r="B863" s="56"/>
      <c r="C863" s="57"/>
    </row>
    <row r="864" spans="2:3" x14ac:dyDescent="0.3">
      <c r="B864" s="56"/>
      <c r="C864" s="57"/>
    </row>
    <row r="865" spans="2:3" x14ac:dyDescent="0.3">
      <c r="B865" s="56"/>
      <c r="C865" s="57"/>
    </row>
    <row r="866" spans="2:3" x14ac:dyDescent="0.3">
      <c r="B866" s="56"/>
      <c r="C866" s="57"/>
    </row>
    <row r="867" spans="2:3" x14ac:dyDescent="0.3">
      <c r="B867" s="56"/>
      <c r="C867" s="57"/>
    </row>
    <row r="868" spans="2:3" x14ac:dyDescent="0.3">
      <c r="B868" s="56"/>
      <c r="C868" s="57"/>
    </row>
    <row r="869" spans="2:3" x14ac:dyDescent="0.3">
      <c r="B869" s="56"/>
      <c r="C869" s="57"/>
    </row>
    <row r="870" spans="2:3" x14ac:dyDescent="0.3">
      <c r="B870" s="56"/>
      <c r="C870" s="57"/>
    </row>
    <row r="871" spans="2:3" x14ac:dyDescent="0.3">
      <c r="B871" s="56"/>
      <c r="C871" s="57"/>
    </row>
    <row r="872" spans="2:3" x14ac:dyDescent="0.3">
      <c r="B872" s="56"/>
      <c r="C872" s="57"/>
    </row>
    <row r="873" spans="2:3" x14ac:dyDescent="0.3">
      <c r="B873" s="56"/>
      <c r="C873" s="57"/>
    </row>
    <row r="874" spans="2:3" x14ac:dyDescent="0.3">
      <c r="B874" s="56"/>
      <c r="C874" s="57"/>
    </row>
    <row r="875" spans="2:3" x14ac:dyDescent="0.3">
      <c r="B875" s="56"/>
      <c r="C875" s="57"/>
    </row>
    <row r="876" spans="2:3" x14ac:dyDescent="0.3">
      <c r="B876" s="56"/>
      <c r="C876" s="57"/>
    </row>
    <row r="877" spans="2:3" x14ac:dyDescent="0.3">
      <c r="B877" s="56"/>
      <c r="C877" s="57"/>
    </row>
    <row r="878" spans="2:3" x14ac:dyDescent="0.3">
      <c r="B878" s="3"/>
      <c r="C878" s="53"/>
    </row>
    <row r="879" spans="2:3" x14ac:dyDescent="0.3">
      <c r="B879" s="54"/>
      <c r="C879" s="55"/>
    </row>
    <row r="880" spans="2:3" x14ac:dyDescent="0.3">
      <c r="B880" s="56"/>
      <c r="C880" s="57"/>
    </row>
    <row r="881" spans="2:3" x14ac:dyDescent="0.3">
      <c r="B881" s="56"/>
      <c r="C881" s="57"/>
    </row>
    <row r="882" spans="2:3" x14ac:dyDescent="0.3">
      <c r="B882" s="56"/>
      <c r="C882" s="57"/>
    </row>
    <row r="883" spans="2:3" x14ac:dyDescent="0.3">
      <c r="B883" s="56"/>
      <c r="C883" s="57"/>
    </row>
    <row r="884" spans="2:3" x14ac:dyDescent="0.3">
      <c r="B884" s="56"/>
      <c r="C884" s="57"/>
    </row>
    <row r="885" spans="2:3" x14ac:dyDescent="0.3">
      <c r="B885" s="56"/>
      <c r="C885" s="57"/>
    </row>
    <row r="886" spans="2:3" x14ac:dyDescent="0.3">
      <c r="B886" s="56"/>
      <c r="C886" s="57"/>
    </row>
    <row r="887" spans="2:3" x14ac:dyDescent="0.3">
      <c r="B887" s="56"/>
      <c r="C887" s="57"/>
    </row>
    <row r="888" spans="2:3" x14ac:dyDescent="0.3">
      <c r="B888" s="56"/>
      <c r="C888" s="57"/>
    </row>
    <row r="889" spans="2:3" x14ac:dyDescent="0.3">
      <c r="B889" s="56"/>
      <c r="C889" s="57"/>
    </row>
    <row r="890" spans="2:3" x14ac:dyDescent="0.3">
      <c r="B890" s="56"/>
      <c r="C890" s="57"/>
    </row>
    <row r="891" spans="2:3" x14ac:dyDescent="0.3">
      <c r="B891" s="56"/>
      <c r="C891" s="57"/>
    </row>
    <row r="892" spans="2:3" x14ac:dyDescent="0.3">
      <c r="B892" s="56"/>
      <c r="C892" s="57"/>
    </row>
    <row r="893" spans="2:3" x14ac:dyDescent="0.3">
      <c r="B893" s="56"/>
      <c r="C893" s="57"/>
    </row>
    <row r="894" spans="2:3" x14ac:dyDescent="0.3">
      <c r="B894" s="56"/>
      <c r="C894" s="57"/>
    </row>
    <row r="895" spans="2:3" x14ac:dyDescent="0.3">
      <c r="B895" s="3"/>
      <c r="C895" s="53"/>
    </row>
    <row r="896" spans="2:3" x14ac:dyDescent="0.3">
      <c r="B896" s="54"/>
      <c r="C896" s="55"/>
    </row>
    <row r="897" spans="2:3" x14ac:dyDescent="0.3">
      <c r="B897" s="56"/>
      <c r="C897" s="57"/>
    </row>
    <row r="898" spans="2:3" x14ac:dyDescent="0.3">
      <c r="B898" s="56"/>
      <c r="C898" s="57"/>
    </row>
    <row r="899" spans="2:3" x14ac:dyDescent="0.3">
      <c r="B899" s="56"/>
      <c r="C899" s="57"/>
    </row>
    <row r="900" spans="2:3" x14ac:dyDescent="0.3">
      <c r="B900" s="56"/>
      <c r="C900" s="57"/>
    </row>
    <row r="901" spans="2:3" x14ac:dyDescent="0.3">
      <c r="B901" s="56"/>
      <c r="C901" s="57"/>
    </row>
    <row r="902" spans="2:3" x14ac:dyDescent="0.3">
      <c r="B902" s="56"/>
      <c r="C902" s="57"/>
    </row>
    <row r="903" spans="2:3" x14ac:dyDescent="0.3">
      <c r="B903" s="56"/>
      <c r="C903" s="57"/>
    </row>
    <row r="904" spans="2:3" x14ac:dyDescent="0.3">
      <c r="B904" s="56"/>
      <c r="C904" s="57"/>
    </row>
    <row r="905" spans="2:3" x14ac:dyDescent="0.3">
      <c r="B905" s="56"/>
      <c r="C905" s="57"/>
    </row>
    <row r="906" spans="2:3" x14ac:dyDescent="0.3">
      <c r="B906" s="56"/>
      <c r="C906" s="57"/>
    </row>
    <row r="907" spans="2:3" x14ac:dyDescent="0.3">
      <c r="B907" s="56"/>
      <c r="C907" s="57"/>
    </row>
    <row r="908" spans="2:3" x14ac:dyDescent="0.3">
      <c r="B908" s="56"/>
      <c r="C908" s="57"/>
    </row>
    <row r="909" spans="2:3" x14ac:dyDescent="0.3">
      <c r="B909" s="56"/>
      <c r="C909" s="57"/>
    </row>
    <row r="910" spans="2:3" x14ac:dyDescent="0.3">
      <c r="B910" s="56"/>
      <c r="C910" s="57"/>
    </row>
    <row r="911" spans="2:3" x14ac:dyDescent="0.3">
      <c r="B911" s="56"/>
      <c r="C911" s="57"/>
    </row>
    <row r="912" spans="2:3" x14ac:dyDescent="0.3">
      <c r="B912" s="56"/>
      <c r="C912" s="57"/>
    </row>
    <row r="913" spans="2:3" x14ac:dyDescent="0.3">
      <c r="B913" s="56"/>
      <c r="C913" s="57"/>
    </row>
    <row r="914" spans="2:3" x14ac:dyDescent="0.3">
      <c r="B914" s="56"/>
      <c r="C914" s="57"/>
    </row>
    <row r="915" spans="2:3" x14ac:dyDescent="0.3">
      <c r="B915" s="56"/>
      <c r="C915" s="57"/>
    </row>
    <row r="916" spans="2:3" x14ac:dyDescent="0.3">
      <c r="B916" s="56"/>
      <c r="C916" s="57"/>
    </row>
    <row r="917" spans="2:3" x14ac:dyDescent="0.3">
      <c r="B917" s="56"/>
      <c r="C917" s="57"/>
    </row>
    <row r="918" spans="2:3" x14ac:dyDescent="0.3">
      <c r="B918" s="56"/>
      <c r="C918" s="57"/>
    </row>
    <row r="919" spans="2:3" x14ac:dyDescent="0.3">
      <c r="B919" s="56"/>
      <c r="C919" s="57"/>
    </row>
    <row r="920" spans="2:3" x14ac:dyDescent="0.3">
      <c r="B920" s="56"/>
      <c r="C920" s="57"/>
    </row>
    <row r="921" spans="2:3" x14ac:dyDescent="0.3">
      <c r="B921" s="56"/>
      <c r="C921" s="57"/>
    </row>
    <row r="922" spans="2:3" x14ac:dyDescent="0.3">
      <c r="B922" s="56"/>
      <c r="C922" s="57"/>
    </row>
    <row r="923" spans="2:3" x14ac:dyDescent="0.3">
      <c r="B923" s="56"/>
      <c r="C923" s="57"/>
    </row>
    <row r="924" spans="2:3" x14ac:dyDescent="0.3">
      <c r="B924" s="3"/>
      <c r="C924" s="53"/>
    </row>
    <row r="925" spans="2:3" x14ac:dyDescent="0.3">
      <c r="B925" s="54"/>
      <c r="C925" s="55"/>
    </row>
    <row r="926" spans="2:3" x14ac:dyDescent="0.3">
      <c r="B926" s="56"/>
      <c r="C926" s="57"/>
    </row>
    <row r="927" spans="2:3" x14ac:dyDescent="0.3">
      <c r="B927" s="56"/>
      <c r="C927" s="57"/>
    </row>
    <row r="928" spans="2:3" x14ac:dyDescent="0.3">
      <c r="B928" s="56"/>
      <c r="C928" s="57"/>
    </row>
    <row r="929" spans="2:3" x14ac:dyDescent="0.3">
      <c r="B929" s="56"/>
      <c r="C929" s="57"/>
    </row>
    <row r="930" spans="2:3" x14ac:dyDescent="0.3">
      <c r="B930" s="56"/>
      <c r="C930" s="57"/>
    </row>
    <row r="931" spans="2:3" x14ac:dyDescent="0.3">
      <c r="B931" s="56"/>
      <c r="C931" s="57"/>
    </row>
    <row r="932" spans="2:3" x14ac:dyDescent="0.3">
      <c r="B932" s="56"/>
      <c r="C932" s="57"/>
    </row>
    <row r="933" spans="2:3" x14ac:dyDescent="0.3">
      <c r="B933" s="56"/>
      <c r="C933" s="57"/>
    </row>
    <row r="934" spans="2:3" x14ac:dyDescent="0.3">
      <c r="B934" s="56"/>
      <c r="C934" s="57"/>
    </row>
    <row r="935" spans="2:3" x14ac:dyDescent="0.3">
      <c r="B935" s="56"/>
      <c r="C935" s="57"/>
    </row>
    <row r="936" spans="2:3" x14ac:dyDescent="0.3">
      <c r="B936" s="56"/>
      <c r="C936" s="57"/>
    </row>
    <row r="937" spans="2:3" x14ac:dyDescent="0.3">
      <c r="B937" s="56"/>
      <c r="C937" s="57"/>
    </row>
    <row r="938" spans="2:3" x14ac:dyDescent="0.3">
      <c r="B938" s="56"/>
      <c r="C938" s="57"/>
    </row>
    <row r="939" spans="2:3" x14ac:dyDescent="0.3">
      <c r="B939" s="56"/>
      <c r="C939" s="57"/>
    </row>
    <row r="940" spans="2:3" x14ac:dyDescent="0.3">
      <c r="B940" s="56"/>
      <c r="C940" s="57"/>
    </row>
    <row r="941" spans="2:3" x14ac:dyDescent="0.3">
      <c r="B941" s="56"/>
      <c r="C941" s="57"/>
    </row>
    <row r="942" spans="2:3" x14ac:dyDescent="0.3">
      <c r="B942" s="56"/>
      <c r="C942" s="57"/>
    </row>
    <row r="943" spans="2:3" x14ac:dyDescent="0.3">
      <c r="B943" s="56"/>
      <c r="C943" s="57"/>
    </row>
    <row r="944" spans="2:3" x14ac:dyDescent="0.3">
      <c r="B944" s="3"/>
      <c r="C944" s="53"/>
    </row>
    <row r="945" spans="2:3" x14ac:dyDescent="0.3">
      <c r="B945" s="54"/>
      <c r="C945" s="55"/>
    </row>
    <row r="946" spans="2:3" x14ac:dyDescent="0.3">
      <c r="B946" s="56"/>
      <c r="C946" s="57"/>
    </row>
    <row r="947" spans="2:3" x14ac:dyDescent="0.3">
      <c r="B947" s="56"/>
      <c r="C947" s="57"/>
    </row>
    <row r="948" spans="2:3" x14ac:dyDescent="0.3">
      <c r="B948" s="56"/>
      <c r="C948" s="57"/>
    </row>
    <row r="949" spans="2:3" x14ac:dyDescent="0.3">
      <c r="B949" s="56"/>
      <c r="C949" s="57"/>
    </row>
    <row r="950" spans="2:3" x14ac:dyDescent="0.3">
      <c r="B950" s="56"/>
      <c r="C950" s="57"/>
    </row>
    <row r="951" spans="2:3" x14ac:dyDescent="0.3">
      <c r="B951" s="56"/>
      <c r="C951" s="57"/>
    </row>
    <row r="952" spans="2:3" x14ac:dyDescent="0.3">
      <c r="B952" s="56"/>
      <c r="C952" s="57"/>
    </row>
    <row r="953" spans="2:3" x14ac:dyDescent="0.3">
      <c r="B953" s="56"/>
      <c r="C953" s="57"/>
    </row>
    <row r="954" spans="2:3" x14ac:dyDescent="0.3">
      <c r="B954" s="56"/>
      <c r="C954" s="57"/>
    </row>
    <row r="955" spans="2:3" x14ac:dyDescent="0.3">
      <c r="B955" s="56"/>
      <c r="C955" s="57"/>
    </row>
    <row r="956" spans="2:3" x14ac:dyDescent="0.3">
      <c r="B956" s="56"/>
      <c r="C956" s="57"/>
    </row>
    <row r="957" spans="2:3" x14ac:dyDescent="0.3">
      <c r="B957" s="56"/>
      <c r="C957" s="57"/>
    </row>
    <row r="958" spans="2:3" x14ac:dyDescent="0.3">
      <c r="B958" s="56"/>
      <c r="C958" s="57"/>
    </row>
    <row r="959" spans="2:3" x14ac:dyDescent="0.3">
      <c r="B959" s="56"/>
      <c r="C959" s="57"/>
    </row>
    <row r="960" spans="2:3" x14ac:dyDescent="0.3">
      <c r="B960" s="56"/>
      <c r="C960" s="57"/>
    </row>
    <row r="961" spans="2:3" x14ac:dyDescent="0.3">
      <c r="B961" s="56"/>
      <c r="C961" s="57"/>
    </row>
    <row r="962" spans="2:3" x14ac:dyDescent="0.3">
      <c r="B962" s="56"/>
      <c r="C962" s="57"/>
    </row>
    <row r="963" spans="2:3" x14ac:dyDescent="0.3">
      <c r="B963" s="56"/>
      <c r="C963" s="57"/>
    </row>
    <row r="964" spans="2:3" x14ac:dyDescent="0.3">
      <c r="B964" s="56"/>
      <c r="C964" s="57"/>
    </row>
    <row r="965" spans="2:3" x14ac:dyDescent="0.3">
      <c r="B965" s="56"/>
      <c r="C965" s="57"/>
    </row>
    <row r="966" spans="2:3" x14ac:dyDescent="0.3">
      <c r="B966" s="56"/>
      <c r="C966" s="57"/>
    </row>
    <row r="967" spans="2:3" x14ac:dyDescent="0.3">
      <c r="B967" s="56"/>
      <c r="C967" s="57"/>
    </row>
    <row r="968" spans="2:3" x14ac:dyDescent="0.3">
      <c r="B968" s="56"/>
      <c r="C968" s="57"/>
    </row>
    <row r="969" spans="2:3" x14ac:dyDescent="0.3">
      <c r="B969" s="56"/>
      <c r="C969" s="57"/>
    </row>
    <row r="970" spans="2:3" x14ac:dyDescent="0.3">
      <c r="B970" s="56"/>
      <c r="C970" s="57"/>
    </row>
    <row r="971" spans="2:3" x14ac:dyDescent="0.3">
      <c r="B971" s="56"/>
      <c r="C971" s="57"/>
    </row>
    <row r="972" spans="2:3" x14ac:dyDescent="0.3">
      <c r="B972" s="56"/>
      <c r="C972" s="57"/>
    </row>
    <row r="973" spans="2:3" x14ac:dyDescent="0.3">
      <c r="B973" s="56"/>
      <c r="C973" s="57"/>
    </row>
    <row r="974" spans="2:3" x14ac:dyDescent="0.3">
      <c r="B974" s="3"/>
      <c r="C974" s="53"/>
    </row>
    <row r="975" spans="2:3" x14ac:dyDescent="0.3">
      <c r="B975" s="54"/>
      <c r="C975" s="55"/>
    </row>
    <row r="976" spans="2:3" x14ac:dyDescent="0.3">
      <c r="B976" s="56"/>
      <c r="C976" s="57"/>
    </row>
    <row r="977" spans="2:3" x14ac:dyDescent="0.3">
      <c r="B977" s="56"/>
      <c r="C977" s="57"/>
    </row>
    <row r="978" spans="2:3" x14ac:dyDescent="0.3">
      <c r="B978" s="56"/>
      <c r="C978" s="57"/>
    </row>
    <row r="979" spans="2:3" x14ac:dyDescent="0.3">
      <c r="B979" s="56"/>
      <c r="C979" s="57"/>
    </row>
    <row r="980" spans="2:3" x14ac:dyDescent="0.3">
      <c r="B980" s="56"/>
      <c r="C980" s="57"/>
    </row>
    <row r="981" spans="2:3" x14ac:dyDescent="0.3">
      <c r="B981" s="56"/>
      <c r="C981" s="57"/>
    </row>
    <row r="982" spans="2:3" x14ac:dyDescent="0.3">
      <c r="B982" s="56"/>
      <c r="C982" s="57"/>
    </row>
    <row r="983" spans="2:3" x14ac:dyDescent="0.3">
      <c r="B983" s="56"/>
      <c r="C983" s="57"/>
    </row>
    <row r="984" spans="2:3" x14ac:dyDescent="0.3">
      <c r="B984" s="56"/>
      <c r="C984" s="57"/>
    </row>
    <row r="985" spans="2:3" x14ac:dyDescent="0.3">
      <c r="B985" s="56"/>
      <c r="C985" s="57"/>
    </row>
    <row r="986" spans="2:3" x14ac:dyDescent="0.3">
      <c r="B986" s="56"/>
      <c r="C986" s="57"/>
    </row>
    <row r="987" spans="2:3" x14ac:dyDescent="0.3">
      <c r="B987" s="56"/>
      <c r="C987" s="57"/>
    </row>
    <row r="988" spans="2:3" x14ac:dyDescent="0.3">
      <c r="B988" s="56"/>
      <c r="C988" s="57"/>
    </row>
    <row r="989" spans="2:3" x14ac:dyDescent="0.3">
      <c r="B989" s="56"/>
      <c r="C989" s="57"/>
    </row>
    <row r="990" spans="2:3" x14ac:dyDescent="0.3">
      <c r="B990" s="56"/>
      <c r="C990" s="57"/>
    </row>
    <row r="991" spans="2:3" x14ac:dyDescent="0.3">
      <c r="B991" s="56"/>
      <c r="C991" s="57"/>
    </row>
    <row r="992" spans="2:3" x14ac:dyDescent="0.3">
      <c r="B992" s="56"/>
      <c r="C992" s="57"/>
    </row>
    <row r="993" spans="2:3" x14ac:dyDescent="0.3">
      <c r="B993" s="56"/>
      <c r="C993" s="57"/>
    </row>
    <row r="994" spans="2:3" x14ac:dyDescent="0.3">
      <c r="B994" s="3"/>
      <c r="C994" s="53"/>
    </row>
    <row r="995" spans="2:3" x14ac:dyDescent="0.3">
      <c r="B995" s="54"/>
      <c r="C995" s="55"/>
    </row>
    <row r="996" spans="2:3" x14ac:dyDescent="0.3">
      <c r="B996" s="56"/>
      <c r="C996" s="57"/>
    </row>
    <row r="997" spans="2:3" x14ac:dyDescent="0.3">
      <c r="B997" s="56"/>
      <c r="C997" s="57"/>
    </row>
    <row r="998" spans="2:3" x14ac:dyDescent="0.3">
      <c r="B998" s="56"/>
      <c r="C998" s="57"/>
    </row>
    <row r="999" spans="2:3" x14ac:dyDescent="0.3">
      <c r="B999" s="56"/>
      <c r="C999" s="57"/>
    </row>
    <row r="1000" spans="2:3" x14ac:dyDescent="0.3">
      <c r="B1000" s="56"/>
      <c r="C1000" s="57"/>
    </row>
    <row r="1001" spans="2:3" x14ac:dyDescent="0.3">
      <c r="B1001" s="56"/>
      <c r="C1001" s="57"/>
    </row>
    <row r="1002" spans="2:3" x14ac:dyDescent="0.3">
      <c r="B1002" s="56"/>
      <c r="C1002" s="57"/>
    </row>
    <row r="1003" spans="2:3" x14ac:dyDescent="0.3">
      <c r="B1003" s="56"/>
      <c r="C1003" s="57"/>
    </row>
    <row r="1004" spans="2:3" x14ac:dyDescent="0.3">
      <c r="B1004" s="56"/>
      <c r="C1004" s="57"/>
    </row>
    <row r="1005" spans="2:3" x14ac:dyDescent="0.3">
      <c r="B1005" s="56"/>
      <c r="C1005" s="57"/>
    </row>
    <row r="1006" spans="2:3" x14ac:dyDescent="0.3">
      <c r="B1006" s="56"/>
      <c r="C1006" s="57"/>
    </row>
    <row r="1007" spans="2:3" x14ac:dyDescent="0.3">
      <c r="B1007" s="56"/>
      <c r="C1007" s="57"/>
    </row>
    <row r="1008" spans="2:3" x14ac:dyDescent="0.3">
      <c r="B1008" s="56"/>
      <c r="C1008" s="57"/>
    </row>
    <row r="1009" spans="2:3" x14ac:dyDescent="0.3">
      <c r="B1009" s="56"/>
      <c r="C1009" s="57"/>
    </row>
    <row r="1010" spans="2:3" x14ac:dyDescent="0.3">
      <c r="B1010" s="56"/>
      <c r="C1010" s="57"/>
    </row>
    <row r="1011" spans="2:3" x14ac:dyDescent="0.3">
      <c r="B1011" s="3"/>
      <c r="C1011" s="53"/>
    </row>
    <row r="1012" spans="2:3" x14ac:dyDescent="0.3">
      <c r="B1012" s="54"/>
      <c r="C1012" s="55"/>
    </row>
    <row r="1013" spans="2:3" x14ac:dyDescent="0.3">
      <c r="B1013" s="56"/>
      <c r="C1013" s="57"/>
    </row>
    <row r="1014" spans="2:3" x14ac:dyDescent="0.3">
      <c r="B1014" s="56"/>
      <c r="C1014" s="57"/>
    </row>
    <row r="1015" spans="2:3" x14ac:dyDescent="0.3">
      <c r="B1015" s="56"/>
      <c r="C1015" s="57"/>
    </row>
    <row r="1016" spans="2:3" x14ac:dyDescent="0.3">
      <c r="B1016" s="56"/>
      <c r="C1016" s="57"/>
    </row>
    <row r="1017" spans="2:3" x14ac:dyDescent="0.3">
      <c r="B1017" s="56"/>
      <c r="C1017" s="57"/>
    </row>
    <row r="1018" spans="2:3" x14ac:dyDescent="0.3">
      <c r="B1018" s="56"/>
      <c r="C1018" s="57"/>
    </row>
    <row r="1019" spans="2:3" x14ac:dyDescent="0.3">
      <c r="B1019" s="56"/>
      <c r="C1019" s="57"/>
    </row>
    <row r="1020" spans="2:3" x14ac:dyDescent="0.3">
      <c r="B1020" s="56"/>
      <c r="C1020" s="57"/>
    </row>
    <row r="1021" spans="2:3" x14ac:dyDescent="0.3">
      <c r="B1021" s="56"/>
      <c r="C1021" s="57"/>
    </row>
    <row r="1022" spans="2:3" x14ac:dyDescent="0.3">
      <c r="B1022" s="56"/>
      <c r="C1022" s="57"/>
    </row>
    <row r="1023" spans="2:3" x14ac:dyDescent="0.3">
      <c r="B1023" s="56"/>
      <c r="C1023" s="57"/>
    </row>
    <row r="1024" spans="2:3" x14ac:dyDescent="0.3">
      <c r="B1024" s="56"/>
      <c r="C1024" s="57"/>
    </row>
    <row r="1025" spans="2:3" x14ac:dyDescent="0.3">
      <c r="B1025" s="56"/>
      <c r="C1025" s="57"/>
    </row>
    <row r="1026" spans="2:3" x14ac:dyDescent="0.3">
      <c r="B1026" s="56"/>
      <c r="C1026" s="57"/>
    </row>
    <row r="1027" spans="2:3" x14ac:dyDescent="0.3">
      <c r="B1027" s="56"/>
      <c r="C1027" s="57"/>
    </row>
    <row r="1028" spans="2:3" x14ac:dyDescent="0.3">
      <c r="B1028" s="56"/>
      <c r="C1028" s="57"/>
    </row>
    <row r="1029" spans="2:3" x14ac:dyDescent="0.3">
      <c r="B1029" s="56"/>
      <c r="C1029" s="57"/>
    </row>
    <row r="1030" spans="2:3" x14ac:dyDescent="0.3">
      <c r="B1030" s="56"/>
      <c r="C1030" s="57"/>
    </row>
    <row r="1031" spans="2:3" x14ac:dyDescent="0.3">
      <c r="B1031" s="56"/>
      <c r="C1031" s="57"/>
    </row>
    <row r="1032" spans="2:3" x14ac:dyDescent="0.3">
      <c r="B1032" s="56"/>
      <c r="C1032" s="57"/>
    </row>
    <row r="1033" spans="2:3" x14ac:dyDescent="0.3">
      <c r="B1033" s="56"/>
      <c r="C1033" s="57"/>
    </row>
    <row r="1034" spans="2:3" x14ac:dyDescent="0.3">
      <c r="B1034" s="56"/>
      <c r="C1034" s="57"/>
    </row>
    <row r="1035" spans="2:3" x14ac:dyDescent="0.3">
      <c r="B1035" s="56"/>
      <c r="C1035" s="57"/>
    </row>
    <row r="1036" spans="2:3" x14ac:dyDescent="0.3">
      <c r="B1036" s="56"/>
      <c r="C1036" s="57"/>
    </row>
    <row r="1037" spans="2:3" x14ac:dyDescent="0.3">
      <c r="B1037" s="56"/>
      <c r="C1037" s="57"/>
    </row>
    <row r="1038" spans="2:3" x14ac:dyDescent="0.3">
      <c r="B1038" s="56"/>
      <c r="C1038" s="57"/>
    </row>
    <row r="1039" spans="2:3" x14ac:dyDescent="0.3">
      <c r="B1039" s="56"/>
      <c r="C1039" s="57"/>
    </row>
    <row r="1040" spans="2:3" x14ac:dyDescent="0.3">
      <c r="B1040" s="56"/>
      <c r="C1040" s="57"/>
    </row>
    <row r="1041" spans="2:3" x14ac:dyDescent="0.3">
      <c r="B1041" s="56"/>
      <c r="C1041" s="57"/>
    </row>
    <row r="1042" spans="2:3" x14ac:dyDescent="0.3">
      <c r="B1042" s="56"/>
      <c r="C1042" s="57"/>
    </row>
    <row r="1043" spans="2:3" x14ac:dyDescent="0.3">
      <c r="B1043" s="56"/>
      <c r="C1043" s="57"/>
    </row>
    <row r="1044" spans="2:3" x14ac:dyDescent="0.3">
      <c r="B1044" s="3"/>
      <c r="C1044" s="53"/>
    </row>
    <row r="1045" spans="2:3" x14ac:dyDescent="0.3">
      <c r="B1045" s="54"/>
      <c r="C1045" s="55"/>
    </row>
    <row r="1046" spans="2:3" x14ac:dyDescent="0.3">
      <c r="B1046" s="56"/>
      <c r="C1046" s="57"/>
    </row>
    <row r="1047" spans="2:3" x14ac:dyDescent="0.3">
      <c r="B1047" s="56"/>
      <c r="C1047" s="57"/>
    </row>
    <row r="1048" spans="2:3" x14ac:dyDescent="0.3">
      <c r="B1048" s="56"/>
      <c r="C1048" s="57"/>
    </row>
    <row r="1049" spans="2:3" x14ac:dyDescent="0.3">
      <c r="B1049" s="56"/>
      <c r="C1049" s="57"/>
    </row>
    <row r="1050" spans="2:3" x14ac:dyDescent="0.3">
      <c r="B1050" s="56"/>
      <c r="C1050" s="57"/>
    </row>
    <row r="1051" spans="2:3" x14ac:dyDescent="0.3">
      <c r="B1051" s="56"/>
      <c r="C1051" s="57"/>
    </row>
    <row r="1052" spans="2:3" x14ac:dyDescent="0.3">
      <c r="B1052" s="56"/>
      <c r="C1052" s="57"/>
    </row>
    <row r="1053" spans="2:3" x14ac:dyDescent="0.3">
      <c r="B1053" s="56"/>
      <c r="C1053" s="57"/>
    </row>
    <row r="1054" spans="2:3" x14ac:dyDescent="0.3">
      <c r="B1054" s="56"/>
      <c r="C1054" s="57"/>
    </row>
    <row r="1055" spans="2:3" x14ac:dyDescent="0.3">
      <c r="B1055" s="56"/>
      <c r="C1055" s="57"/>
    </row>
    <row r="1056" spans="2:3" x14ac:dyDescent="0.3">
      <c r="B1056" s="56"/>
      <c r="C1056" s="57"/>
    </row>
    <row r="1057" spans="2:3" x14ac:dyDescent="0.3">
      <c r="B1057" s="56"/>
      <c r="C1057" s="57"/>
    </row>
    <row r="1058" spans="2:3" x14ac:dyDescent="0.3">
      <c r="B1058" s="56"/>
      <c r="C1058" s="57"/>
    </row>
    <row r="1059" spans="2:3" x14ac:dyDescent="0.3">
      <c r="B1059" s="56"/>
      <c r="C1059" s="57"/>
    </row>
    <row r="1060" spans="2:3" x14ac:dyDescent="0.3">
      <c r="B1060" s="56"/>
      <c r="C1060" s="57"/>
    </row>
    <row r="1061" spans="2:3" x14ac:dyDescent="0.3">
      <c r="B1061" s="56"/>
      <c r="C1061" s="57"/>
    </row>
    <row r="1062" spans="2:3" x14ac:dyDescent="0.3">
      <c r="B1062" s="56"/>
      <c r="C1062" s="57"/>
    </row>
    <row r="1063" spans="2:3" x14ac:dyDescent="0.3">
      <c r="B1063" s="56"/>
      <c r="C1063" s="57"/>
    </row>
    <row r="1064" spans="2:3" x14ac:dyDescent="0.3">
      <c r="B1064" s="3"/>
      <c r="C1064" s="53"/>
    </row>
    <row r="1065" spans="2:3" x14ac:dyDescent="0.3">
      <c r="B1065" s="3"/>
      <c r="C1065" s="53"/>
    </row>
    <row r="1066" spans="2:3" x14ac:dyDescent="0.3">
      <c r="B1066" s="3"/>
      <c r="C1066" s="53"/>
    </row>
    <row r="1067" spans="2:3" x14ac:dyDescent="0.3">
      <c r="B1067" s="3"/>
      <c r="C1067" s="53"/>
    </row>
    <row r="1068" spans="2:3" x14ac:dyDescent="0.3">
      <c r="B1068" s="3"/>
      <c r="C1068" s="53"/>
    </row>
    <row r="1069" spans="2:3" x14ac:dyDescent="0.3">
      <c r="B1069" s="3"/>
      <c r="C1069" s="53"/>
    </row>
    <row r="1070" spans="2:3" x14ac:dyDescent="0.3">
      <c r="B1070" s="3"/>
      <c r="C1070" s="53"/>
    </row>
    <row r="1071" spans="2:3" x14ac:dyDescent="0.3">
      <c r="B1071" s="3"/>
      <c r="C1071" s="53"/>
    </row>
    <row r="1072" spans="2:3" x14ac:dyDescent="0.3">
      <c r="B1072" s="3"/>
      <c r="C1072" s="53"/>
    </row>
    <row r="1073" spans="2:3" x14ac:dyDescent="0.3">
      <c r="B1073" s="3"/>
      <c r="C1073" s="53"/>
    </row>
    <row r="1074" spans="2:3" x14ac:dyDescent="0.3">
      <c r="B1074" s="3"/>
      <c r="C1074" s="53"/>
    </row>
    <row r="1075" spans="2:3" x14ac:dyDescent="0.3">
      <c r="B1075" s="3"/>
      <c r="C1075" s="53"/>
    </row>
    <row r="1076" spans="2:3" x14ac:dyDescent="0.3">
      <c r="B1076" s="3"/>
      <c r="C1076" s="53"/>
    </row>
    <row r="1077" spans="2:3" x14ac:dyDescent="0.3">
      <c r="B1077" s="3"/>
      <c r="C1077" s="53"/>
    </row>
    <row r="1078" spans="2:3" x14ac:dyDescent="0.3">
      <c r="B1078" s="54"/>
      <c r="C1078" s="55"/>
    </row>
    <row r="1079" spans="2:3" x14ac:dyDescent="0.3">
      <c r="B1079" s="56"/>
      <c r="C1079" s="57"/>
    </row>
    <row r="1080" spans="2:3" x14ac:dyDescent="0.3">
      <c r="B1080" s="56"/>
      <c r="C1080" s="57"/>
    </row>
    <row r="1081" spans="2:3" x14ac:dyDescent="0.3">
      <c r="B1081" s="56"/>
      <c r="C1081" s="57"/>
    </row>
    <row r="1082" spans="2:3" x14ac:dyDescent="0.3">
      <c r="B1082" s="56"/>
      <c r="C1082" s="57"/>
    </row>
    <row r="1083" spans="2:3" x14ac:dyDescent="0.3">
      <c r="B1083" s="56"/>
      <c r="C1083" s="57"/>
    </row>
    <row r="1084" spans="2:3" x14ac:dyDescent="0.3">
      <c r="B1084" s="56"/>
      <c r="C1084" s="57"/>
    </row>
    <row r="1085" spans="2:3" x14ac:dyDescent="0.3">
      <c r="B1085" s="56"/>
      <c r="C1085" s="57"/>
    </row>
    <row r="1086" spans="2:3" x14ac:dyDescent="0.3">
      <c r="B1086" s="56"/>
      <c r="C1086" s="57"/>
    </row>
    <row r="1087" spans="2:3" x14ac:dyDescent="0.3">
      <c r="B1087" s="56"/>
      <c r="C1087" s="57"/>
    </row>
    <row r="1088" spans="2:3" x14ac:dyDescent="0.3">
      <c r="B1088" s="56"/>
      <c r="C1088" s="57"/>
    </row>
    <row r="1089" spans="2:3" x14ac:dyDescent="0.3">
      <c r="B1089" s="56"/>
      <c r="C1089" s="57"/>
    </row>
    <row r="1090" spans="2:3" x14ac:dyDescent="0.3">
      <c r="B1090" s="56"/>
      <c r="C1090" s="57"/>
    </row>
    <row r="1091" spans="2:3" x14ac:dyDescent="0.3">
      <c r="B1091" s="56"/>
      <c r="C1091" s="57"/>
    </row>
    <row r="1092" spans="2:3" x14ac:dyDescent="0.3">
      <c r="B1092" s="56"/>
      <c r="C1092" s="57"/>
    </row>
    <row r="1093" spans="2:3" x14ac:dyDescent="0.3">
      <c r="B1093" s="56"/>
      <c r="C1093" s="57"/>
    </row>
    <row r="1094" spans="2:3" x14ac:dyDescent="0.3">
      <c r="B1094" s="56"/>
      <c r="C1094" s="57"/>
    </row>
    <row r="1095" spans="2:3" x14ac:dyDescent="0.3">
      <c r="B1095" s="56"/>
      <c r="C1095" s="57"/>
    </row>
    <row r="1096" spans="2:3" x14ac:dyDescent="0.3">
      <c r="B1096" s="56"/>
      <c r="C1096" s="57"/>
    </row>
    <row r="1097" spans="2:3" x14ac:dyDescent="0.3">
      <c r="B1097" s="56"/>
      <c r="C1097" s="57"/>
    </row>
    <row r="1098" spans="2:3" x14ac:dyDescent="0.3">
      <c r="B1098" s="56"/>
      <c r="C1098" s="57"/>
    </row>
    <row r="1099" spans="2:3" x14ac:dyDescent="0.3">
      <c r="B1099" s="56"/>
      <c r="C1099" s="57"/>
    </row>
    <row r="1100" spans="2:3" x14ac:dyDescent="0.3">
      <c r="B1100" s="56"/>
      <c r="C1100" s="57"/>
    </row>
    <row r="1101" spans="2:3" x14ac:dyDescent="0.3">
      <c r="B1101" s="56"/>
      <c r="C1101" s="57"/>
    </row>
    <row r="1102" spans="2:3" x14ac:dyDescent="0.3">
      <c r="B1102" s="56"/>
      <c r="C1102" s="57"/>
    </row>
    <row r="1103" spans="2:3" x14ac:dyDescent="0.3">
      <c r="B1103" s="56"/>
      <c r="C1103" s="57"/>
    </row>
    <row r="1104" spans="2:3" x14ac:dyDescent="0.3">
      <c r="B1104" s="3"/>
      <c r="C1104" s="53"/>
    </row>
    <row r="1105" spans="2:3" x14ac:dyDescent="0.3">
      <c r="B1105" s="54"/>
      <c r="C1105" s="55"/>
    </row>
    <row r="1106" spans="2:3" x14ac:dyDescent="0.3">
      <c r="B1106" s="56"/>
      <c r="C1106" s="57"/>
    </row>
    <row r="1107" spans="2:3" x14ac:dyDescent="0.3">
      <c r="B1107" s="56"/>
      <c r="C1107" s="57"/>
    </row>
    <row r="1108" spans="2:3" x14ac:dyDescent="0.3">
      <c r="B1108" s="56"/>
      <c r="C1108" s="57"/>
    </row>
    <row r="1109" spans="2:3" x14ac:dyDescent="0.3">
      <c r="B1109" s="56"/>
      <c r="C1109" s="57"/>
    </row>
    <row r="1110" spans="2:3" x14ac:dyDescent="0.3">
      <c r="B1110" s="56"/>
      <c r="C1110" s="57"/>
    </row>
    <row r="1111" spans="2:3" x14ac:dyDescent="0.3">
      <c r="B1111" s="56"/>
      <c r="C1111" s="57"/>
    </row>
    <row r="1112" spans="2:3" x14ac:dyDescent="0.3">
      <c r="B1112" s="56"/>
      <c r="C1112" s="57"/>
    </row>
    <row r="1113" spans="2:3" x14ac:dyDescent="0.3">
      <c r="B1113" s="56"/>
      <c r="C1113" s="57"/>
    </row>
    <row r="1114" spans="2:3" x14ac:dyDescent="0.3">
      <c r="B1114" s="56"/>
      <c r="C1114" s="57"/>
    </row>
    <row r="1115" spans="2:3" x14ac:dyDescent="0.3">
      <c r="B1115" s="56"/>
      <c r="C1115" s="57"/>
    </row>
    <row r="1116" spans="2:3" x14ac:dyDescent="0.3">
      <c r="B1116" s="56"/>
      <c r="C1116" s="57"/>
    </row>
    <row r="1117" spans="2:3" x14ac:dyDescent="0.3">
      <c r="B1117" s="56"/>
      <c r="C1117" s="57"/>
    </row>
    <row r="1118" spans="2:3" x14ac:dyDescent="0.3">
      <c r="B1118" s="56"/>
      <c r="C1118" s="57"/>
    </row>
    <row r="1119" spans="2:3" x14ac:dyDescent="0.3">
      <c r="B1119" s="56"/>
      <c r="C1119" s="57"/>
    </row>
    <row r="1120" spans="2:3" x14ac:dyDescent="0.3">
      <c r="B1120" s="3"/>
      <c r="C1120" s="53"/>
    </row>
  </sheetData>
  <sheetProtection selectLockedCells="1" selectUnlockedCells="1"/>
  <mergeCells count="32">
    <mergeCell ref="H376:I376"/>
    <mergeCell ref="H410:I410"/>
    <mergeCell ref="H436:I436"/>
    <mergeCell ref="H491:I491"/>
    <mergeCell ref="H507:I507"/>
    <mergeCell ref="H650:I650"/>
    <mergeCell ref="H669:I669"/>
    <mergeCell ref="H695:I695"/>
    <mergeCell ref="H710:I710"/>
    <mergeCell ref="H535:I535"/>
    <mergeCell ref="H554:I554"/>
    <mergeCell ref="H583:I583"/>
    <mergeCell ref="H602:I602"/>
    <mergeCell ref="H618:I618"/>
    <mergeCell ref="H301:I301"/>
    <mergeCell ref="H328:I328"/>
    <mergeCell ref="H358:I358"/>
    <mergeCell ref="H163:I163"/>
    <mergeCell ref="H208:I208"/>
    <mergeCell ref="H226:I226"/>
    <mergeCell ref="H241:I241"/>
    <mergeCell ref="H260:I260"/>
    <mergeCell ref="H286:I286"/>
    <mergeCell ref="J1:R1"/>
    <mergeCell ref="H101:I101"/>
    <mergeCell ref="H132:I132"/>
    <mergeCell ref="C1:E1"/>
    <mergeCell ref="A1:B1"/>
    <mergeCell ref="H47:I47"/>
    <mergeCell ref="H76:I76"/>
    <mergeCell ref="F1:I1"/>
    <mergeCell ref="F2:G2"/>
  </mergeCells>
  <hyperlinks>
    <hyperlink ref="B713" r:id="rId1" xr:uid="{3A9738EF-63B1-4486-8940-B9B9165CB97C}"/>
  </hyperlinks>
  <pageMargins left="0.6692913385826772" right="0.19685039370078741" top="0.59055118110236227" bottom="0.39370078740157483" header="0.19685039370078741" footer="0.19685039370078741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3D81-CF25-41AD-BF47-63B83BE6C6EB}">
  <dimension ref="A1:Q1118"/>
  <sheetViews>
    <sheetView showGridLines="0" showRowColHeaders="0" zoomScaleNormal="100" workbookViewId="0">
      <pane ySplit="2" topLeftCell="A203" activePane="bottomLeft" state="frozen"/>
      <selection pane="bottomLeft" activeCell="E223" sqref="E223"/>
    </sheetView>
  </sheetViews>
  <sheetFormatPr defaultColWidth="9.140625" defaultRowHeight="18.75" zeroHeight="1" x14ac:dyDescent="0.3"/>
  <cols>
    <col min="1" max="1" width="4.140625" style="53" customWidth="1"/>
    <col min="2" max="2" width="21" style="9" customWidth="1"/>
    <col min="3" max="3" width="4.140625" style="6" customWidth="1"/>
    <col min="4" max="4" width="24.7109375" style="5" bestFit="1" customWidth="1"/>
    <col min="5" max="5" width="17.5703125" style="6" customWidth="1"/>
    <col min="6" max="7" width="5" style="2" customWidth="1"/>
    <col min="8" max="8" width="19.5703125" style="5" customWidth="1"/>
    <col min="9" max="9" width="18" style="6" customWidth="1"/>
    <col min="10" max="10" width="5.140625" style="54" hidden="1" customWidth="1"/>
    <col min="11" max="11" width="5" style="54" hidden="1" customWidth="1"/>
    <col min="12" max="12" width="5.42578125" style="54" hidden="1" customWidth="1"/>
    <col min="13" max="14" width="5.28515625" style="54" hidden="1" customWidth="1"/>
    <col min="15" max="15" width="5" style="54" hidden="1" customWidth="1"/>
    <col min="16" max="16" width="5.85546875" style="9" hidden="1" customWidth="1"/>
    <col min="17" max="17" width="4.42578125" style="2" hidden="1" customWidth="1"/>
    <col min="18" max="27" width="9.140625" style="2" customWidth="1"/>
    <col min="28" max="16384" width="9.140625" style="2"/>
  </cols>
  <sheetData>
    <row r="1" spans="1:16" s="1" customFormat="1" x14ac:dyDescent="0.3">
      <c r="A1" s="294" t="s">
        <v>0</v>
      </c>
      <c r="B1" s="293"/>
      <c r="C1" s="306" t="s">
        <v>1</v>
      </c>
      <c r="D1" s="307"/>
      <c r="E1" s="308"/>
      <c r="F1" s="288" t="s">
        <v>1380</v>
      </c>
      <c r="G1" s="289"/>
      <c r="H1" s="289"/>
      <c r="I1" s="309"/>
      <c r="J1" s="288" t="s">
        <v>3</v>
      </c>
      <c r="K1" s="289"/>
      <c r="L1" s="289"/>
      <c r="M1" s="289"/>
      <c r="N1" s="289"/>
      <c r="O1" s="289"/>
      <c r="P1" s="290"/>
    </row>
    <row r="2" spans="1:16" ht="19.5" thickBot="1" x14ac:dyDescent="0.35">
      <c r="A2" s="58" t="s">
        <v>7</v>
      </c>
      <c r="B2" s="35" t="s">
        <v>1391</v>
      </c>
      <c r="C2" s="35" t="s">
        <v>7</v>
      </c>
      <c r="D2" s="13" t="s">
        <v>1392</v>
      </c>
      <c r="E2" s="13" t="s">
        <v>137</v>
      </c>
      <c r="F2" s="310" t="s">
        <v>2</v>
      </c>
      <c r="G2" s="311"/>
      <c r="H2" s="13" t="s">
        <v>1390</v>
      </c>
      <c r="I2" s="13" t="s">
        <v>137</v>
      </c>
      <c r="J2" s="13" t="s">
        <v>4</v>
      </c>
      <c r="K2" s="13" t="s">
        <v>5</v>
      </c>
      <c r="L2" s="13" t="s">
        <v>6</v>
      </c>
      <c r="M2" s="18" t="s">
        <v>108</v>
      </c>
      <c r="N2" s="18" t="s">
        <v>451</v>
      </c>
      <c r="O2" s="19" t="s">
        <v>169</v>
      </c>
      <c r="P2" s="14" t="s">
        <v>1377</v>
      </c>
    </row>
    <row r="3" spans="1:16" x14ac:dyDescent="0.3">
      <c r="A3" s="119">
        <v>1</v>
      </c>
      <c r="B3" s="36" t="s">
        <v>8</v>
      </c>
      <c r="C3" s="7">
        <v>1</v>
      </c>
      <c r="D3" s="120" t="s">
        <v>10</v>
      </c>
      <c r="E3" s="10" t="s">
        <v>138</v>
      </c>
      <c r="F3" s="121" t="s">
        <v>52</v>
      </c>
      <c r="G3" s="121"/>
      <c r="H3" s="122" t="s">
        <v>262</v>
      </c>
      <c r="I3" s="123" t="s">
        <v>263</v>
      </c>
      <c r="J3" s="194" t="s">
        <v>1383</v>
      </c>
      <c r="K3" s="194"/>
      <c r="L3" s="194"/>
      <c r="M3" s="195"/>
      <c r="N3" s="195" t="s">
        <v>1383</v>
      </c>
      <c r="O3" s="196"/>
      <c r="P3" s="106" t="b">
        <f>IF(COUNTA(J3:O3)=0,FALSE,TRUE)</f>
        <v>1</v>
      </c>
    </row>
    <row r="4" spans="1:16" x14ac:dyDescent="0.25">
      <c r="A4" s="124">
        <v>1</v>
      </c>
      <c r="B4" s="37" t="s">
        <v>8</v>
      </c>
      <c r="C4" s="4">
        <v>2</v>
      </c>
      <c r="D4" s="125" t="s">
        <v>54</v>
      </c>
      <c r="E4" s="11" t="s">
        <v>269</v>
      </c>
      <c r="F4" s="126" t="s">
        <v>52</v>
      </c>
      <c r="G4" s="126"/>
      <c r="H4" s="127" t="s">
        <v>312</v>
      </c>
      <c r="I4" s="11" t="s">
        <v>307</v>
      </c>
      <c r="J4" s="197"/>
      <c r="K4" s="197"/>
      <c r="L4" s="197"/>
      <c r="M4" s="198"/>
      <c r="N4" s="198"/>
      <c r="O4" s="199"/>
      <c r="P4" s="106" t="b">
        <f>IF(COUNTA(J4:O4)=0,FALSE,TRUE)</f>
        <v>0</v>
      </c>
    </row>
    <row r="5" spans="1:16" x14ac:dyDescent="0.3">
      <c r="A5" s="124">
        <v>1</v>
      </c>
      <c r="B5" s="37" t="s">
        <v>8</v>
      </c>
      <c r="C5" s="4">
        <v>3</v>
      </c>
      <c r="D5" s="125" t="s">
        <v>11</v>
      </c>
      <c r="E5" s="11" t="s">
        <v>270</v>
      </c>
      <c r="F5" s="126" t="s">
        <v>52</v>
      </c>
      <c r="G5" s="126"/>
      <c r="H5" s="122" t="s">
        <v>262</v>
      </c>
      <c r="I5" s="123" t="s">
        <v>263</v>
      </c>
      <c r="J5" s="197" t="s">
        <v>1383</v>
      </c>
      <c r="K5" s="197"/>
      <c r="L5" s="197"/>
      <c r="M5" s="198"/>
      <c r="N5" s="198"/>
      <c r="O5" s="199"/>
      <c r="P5" s="106" t="b">
        <f t="shared" ref="P5:P68" si="0">IF(COUNTA(J5:O5)=0,FALSE,TRUE)</f>
        <v>1</v>
      </c>
    </row>
    <row r="6" spans="1:16" x14ac:dyDescent="0.3">
      <c r="A6" s="124">
        <v>1</v>
      </c>
      <c r="B6" s="37" t="s">
        <v>8</v>
      </c>
      <c r="C6" s="4">
        <v>4</v>
      </c>
      <c r="D6" s="125" t="s">
        <v>12</v>
      </c>
      <c r="E6" s="11" t="s">
        <v>271</v>
      </c>
      <c r="F6" s="126" t="s">
        <v>52</v>
      </c>
      <c r="G6" s="126"/>
      <c r="H6" s="122" t="s">
        <v>262</v>
      </c>
      <c r="I6" s="123" t="s">
        <v>263</v>
      </c>
      <c r="J6" s="197" t="s">
        <v>1383</v>
      </c>
      <c r="K6" s="197"/>
      <c r="L6" s="197"/>
      <c r="M6" s="198"/>
      <c r="N6" s="198" t="s">
        <v>1383</v>
      </c>
      <c r="O6" s="199"/>
      <c r="P6" s="106" t="b">
        <f t="shared" si="0"/>
        <v>1</v>
      </c>
    </row>
    <row r="7" spans="1:16" x14ac:dyDescent="0.3">
      <c r="A7" s="124">
        <v>1</v>
      </c>
      <c r="B7" s="37" t="s">
        <v>8</v>
      </c>
      <c r="C7" s="4">
        <v>5</v>
      </c>
      <c r="D7" s="125" t="s">
        <v>13</v>
      </c>
      <c r="E7" s="11" t="s">
        <v>272</v>
      </c>
      <c r="F7" s="126" t="s">
        <v>52</v>
      </c>
      <c r="G7" s="126"/>
      <c r="H7" s="122" t="s">
        <v>262</v>
      </c>
      <c r="I7" s="123" t="s">
        <v>263</v>
      </c>
      <c r="J7" s="197" t="s">
        <v>1383</v>
      </c>
      <c r="K7" s="197"/>
      <c r="L7" s="197"/>
      <c r="M7" s="198"/>
      <c r="N7" s="198"/>
      <c r="O7" s="199"/>
      <c r="P7" s="106" t="b">
        <f t="shared" si="0"/>
        <v>1</v>
      </c>
    </row>
    <row r="8" spans="1:16" x14ac:dyDescent="0.25">
      <c r="A8" s="124">
        <v>1</v>
      </c>
      <c r="B8" s="37" t="s">
        <v>8</v>
      </c>
      <c r="C8" s="4">
        <v>6</v>
      </c>
      <c r="D8" s="125" t="s">
        <v>14</v>
      </c>
      <c r="E8" s="11" t="s">
        <v>273</v>
      </c>
      <c r="F8" s="126" t="s">
        <v>52</v>
      </c>
      <c r="G8" s="126"/>
      <c r="H8" s="127" t="s">
        <v>312</v>
      </c>
      <c r="I8" s="11" t="s">
        <v>307</v>
      </c>
      <c r="J8" s="197" t="s">
        <v>1383</v>
      </c>
      <c r="K8" s="197"/>
      <c r="L8" s="197"/>
      <c r="M8" s="198"/>
      <c r="N8" s="198"/>
      <c r="O8" s="199"/>
      <c r="P8" s="106" t="b">
        <f t="shared" si="0"/>
        <v>1</v>
      </c>
    </row>
    <row r="9" spans="1:16" x14ac:dyDescent="0.25">
      <c r="A9" s="124">
        <v>1</v>
      </c>
      <c r="B9" s="37" t="s">
        <v>8</v>
      </c>
      <c r="C9" s="4">
        <v>7</v>
      </c>
      <c r="D9" s="125" t="s">
        <v>15</v>
      </c>
      <c r="E9" s="11" t="s">
        <v>274</v>
      </c>
      <c r="F9" s="128"/>
      <c r="G9" s="128" t="s">
        <v>53</v>
      </c>
      <c r="H9" s="129" t="s">
        <v>312</v>
      </c>
      <c r="I9" s="128" t="s">
        <v>307</v>
      </c>
      <c r="J9" s="197"/>
      <c r="K9" s="197"/>
      <c r="L9" s="197"/>
      <c r="M9" s="198"/>
      <c r="N9" s="198"/>
      <c r="O9" s="199"/>
      <c r="P9" s="106" t="b">
        <f t="shared" si="0"/>
        <v>0</v>
      </c>
    </row>
    <row r="10" spans="1:16" x14ac:dyDescent="0.3">
      <c r="A10" s="124">
        <v>1</v>
      </c>
      <c r="B10" s="37" t="s">
        <v>8</v>
      </c>
      <c r="C10" s="4">
        <v>8</v>
      </c>
      <c r="D10" s="125" t="s">
        <v>16</v>
      </c>
      <c r="E10" s="11" t="s">
        <v>276</v>
      </c>
      <c r="F10" s="126" t="s">
        <v>52</v>
      </c>
      <c r="G10" s="126"/>
      <c r="H10" s="122" t="s">
        <v>262</v>
      </c>
      <c r="I10" s="123" t="s">
        <v>263</v>
      </c>
      <c r="J10" s="197" t="s">
        <v>1383</v>
      </c>
      <c r="K10" s="197"/>
      <c r="L10" s="197"/>
      <c r="M10" s="198"/>
      <c r="N10" s="198"/>
      <c r="O10" s="199"/>
      <c r="P10" s="106" t="b">
        <f t="shared" si="0"/>
        <v>1</v>
      </c>
    </row>
    <row r="11" spans="1:16" x14ac:dyDescent="0.3">
      <c r="A11" s="124">
        <v>1</v>
      </c>
      <c r="B11" s="37" t="s">
        <v>8</v>
      </c>
      <c r="C11" s="4">
        <v>9</v>
      </c>
      <c r="D11" s="125" t="s">
        <v>17</v>
      </c>
      <c r="E11" s="11" t="s">
        <v>275</v>
      </c>
      <c r="F11" s="126" t="s">
        <v>52</v>
      </c>
      <c r="G11" s="126"/>
      <c r="H11" s="122" t="s">
        <v>262</v>
      </c>
      <c r="I11" s="123" t="s">
        <v>263</v>
      </c>
      <c r="J11" s="197" t="s">
        <v>1383</v>
      </c>
      <c r="K11" s="197"/>
      <c r="L11" s="197"/>
      <c r="M11" s="198"/>
      <c r="N11" s="198"/>
      <c r="O11" s="199"/>
      <c r="P11" s="106" t="b">
        <f t="shared" si="0"/>
        <v>1</v>
      </c>
    </row>
    <row r="12" spans="1:16" x14ac:dyDescent="0.3">
      <c r="A12" s="124">
        <v>1</v>
      </c>
      <c r="B12" s="37" t="s">
        <v>8</v>
      </c>
      <c r="C12" s="4">
        <v>10</v>
      </c>
      <c r="D12" s="125" t="s">
        <v>18</v>
      </c>
      <c r="E12" s="11" t="s">
        <v>277</v>
      </c>
      <c r="F12" s="126" t="s">
        <v>52</v>
      </c>
      <c r="G12" s="128"/>
      <c r="H12" s="122" t="s">
        <v>267</v>
      </c>
      <c r="I12" s="123" t="s">
        <v>268</v>
      </c>
      <c r="J12" s="197"/>
      <c r="K12" s="197"/>
      <c r="L12" s="197"/>
      <c r="M12" s="198"/>
      <c r="N12" s="198"/>
      <c r="O12" s="199"/>
      <c r="P12" s="106" t="b">
        <f t="shared" si="0"/>
        <v>0</v>
      </c>
    </row>
    <row r="13" spans="1:16" x14ac:dyDescent="0.25">
      <c r="A13" s="124">
        <v>1</v>
      </c>
      <c r="B13" s="37" t="s">
        <v>8</v>
      </c>
      <c r="C13" s="4">
        <v>11</v>
      </c>
      <c r="D13" s="125" t="s">
        <v>19</v>
      </c>
      <c r="E13" s="11" t="s">
        <v>278</v>
      </c>
      <c r="F13" s="126" t="s">
        <v>52</v>
      </c>
      <c r="G13" s="126"/>
      <c r="H13" s="127" t="s">
        <v>312</v>
      </c>
      <c r="I13" s="11" t="s">
        <v>307</v>
      </c>
      <c r="J13" s="197"/>
      <c r="K13" s="197"/>
      <c r="L13" s="197"/>
      <c r="M13" s="198"/>
      <c r="N13" s="198"/>
      <c r="O13" s="199"/>
      <c r="P13" s="106" t="b">
        <f t="shared" si="0"/>
        <v>0</v>
      </c>
    </row>
    <row r="14" spans="1:16" x14ac:dyDescent="0.3">
      <c r="A14" s="124">
        <v>1</v>
      </c>
      <c r="B14" s="37" t="s">
        <v>8</v>
      </c>
      <c r="C14" s="4">
        <v>12</v>
      </c>
      <c r="D14" s="125" t="s">
        <v>20</v>
      </c>
      <c r="E14" s="11" t="s">
        <v>279</v>
      </c>
      <c r="F14" s="126" t="s">
        <v>52</v>
      </c>
      <c r="G14" s="126"/>
      <c r="H14" s="122" t="s">
        <v>262</v>
      </c>
      <c r="I14" s="123" t="s">
        <v>263</v>
      </c>
      <c r="J14" s="197" t="s">
        <v>1383</v>
      </c>
      <c r="K14" s="197"/>
      <c r="L14" s="197"/>
      <c r="M14" s="198"/>
      <c r="N14" s="198"/>
      <c r="O14" s="199"/>
      <c r="P14" s="106" t="b">
        <f t="shared" si="0"/>
        <v>1</v>
      </c>
    </row>
    <row r="15" spans="1:16" x14ac:dyDescent="0.25">
      <c r="A15" s="124">
        <v>1</v>
      </c>
      <c r="B15" s="37" t="s">
        <v>8</v>
      </c>
      <c r="C15" s="4">
        <v>13</v>
      </c>
      <c r="D15" s="125" t="s">
        <v>21</v>
      </c>
      <c r="E15" s="11" t="s">
        <v>280</v>
      </c>
      <c r="F15" s="126" t="s">
        <v>52</v>
      </c>
      <c r="G15" s="126"/>
      <c r="H15" s="127" t="s">
        <v>312</v>
      </c>
      <c r="I15" s="11" t="s">
        <v>307</v>
      </c>
      <c r="J15" s="197"/>
      <c r="K15" s="197"/>
      <c r="L15" s="197"/>
      <c r="M15" s="198"/>
      <c r="N15" s="198"/>
      <c r="O15" s="199"/>
      <c r="P15" s="106" t="b">
        <f t="shared" si="0"/>
        <v>0</v>
      </c>
    </row>
    <row r="16" spans="1:16" x14ac:dyDescent="0.3">
      <c r="A16" s="124">
        <v>1</v>
      </c>
      <c r="B16" s="37" t="s">
        <v>8</v>
      </c>
      <c r="C16" s="4">
        <v>14</v>
      </c>
      <c r="D16" s="125" t="s">
        <v>22</v>
      </c>
      <c r="E16" s="11" t="s">
        <v>281</v>
      </c>
      <c r="F16" s="126" t="s">
        <v>52</v>
      </c>
      <c r="G16" s="126"/>
      <c r="H16" s="122" t="s">
        <v>262</v>
      </c>
      <c r="I16" s="123" t="s">
        <v>263</v>
      </c>
      <c r="J16" s="197" t="s">
        <v>1383</v>
      </c>
      <c r="K16" s="197"/>
      <c r="L16" s="197"/>
      <c r="M16" s="198"/>
      <c r="N16" s="198"/>
      <c r="O16" s="199"/>
      <c r="P16" s="106" t="b">
        <f t="shared" si="0"/>
        <v>1</v>
      </c>
    </row>
    <row r="17" spans="1:16" x14ac:dyDescent="0.3">
      <c r="A17" s="124">
        <v>1</v>
      </c>
      <c r="B17" s="37" t="s">
        <v>8</v>
      </c>
      <c r="C17" s="4">
        <v>15</v>
      </c>
      <c r="D17" s="125" t="s">
        <v>23</v>
      </c>
      <c r="E17" s="11" t="s">
        <v>282</v>
      </c>
      <c r="F17" s="126" t="s">
        <v>52</v>
      </c>
      <c r="G17" s="126"/>
      <c r="H17" s="122" t="s">
        <v>262</v>
      </c>
      <c r="I17" s="123" t="s">
        <v>263</v>
      </c>
      <c r="J17" s="197"/>
      <c r="K17" s="197"/>
      <c r="L17" s="197"/>
      <c r="M17" s="198"/>
      <c r="N17" s="198"/>
      <c r="O17" s="199"/>
      <c r="P17" s="106" t="b">
        <f t="shared" si="0"/>
        <v>0</v>
      </c>
    </row>
    <row r="18" spans="1:16" x14ac:dyDescent="0.3">
      <c r="A18" s="124">
        <v>1</v>
      </c>
      <c r="B18" s="37" t="s">
        <v>8</v>
      </c>
      <c r="C18" s="4">
        <v>16</v>
      </c>
      <c r="D18" s="125" t="s">
        <v>24</v>
      </c>
      <c r="E18" s="11" t="s">
        <v>283</v>
      </c>
      <c r="F18" s="126" t="s">
        <v>52</v>
      </c>
      <c r="G18" s="126"/>
      <c r="H18" s="122" t="s">
        <v>314</v>
      </c>
      <c r="I18" s="130" t="s">
        <v>313</v>
      </c>
      <c r="J18" s="197" t="s">
        <v>1383</v>
      </c>
      <c r="K18" s="197"/>
      <c r="L18" s="197"/>
      <c r="M18" s="198"/>
      <c r="N18" s="198"/>
      <c r="O18" s="199"/>
      <c r="P18" s="106" t="b">
        <f t="shared" si="0"/>
        <v>1</v>
      </c>
    </row>
    <row r="19" spans="1:16" x14ac:dyDescent="0.25">
      <c r="A19" s="124">
        <v>1</v>
      </c>
      <c r="B19" s="37" t="s">
        <v>8</v>
      </c>
      <c r="C19" s="4">
        <v>17</v>
      </c>
      <c r="D19" s="125" t="s">
        <v>25</v>
      </c>
      <c r="E19" s="11" t="s">
        <v>284</v>
      </c>
      <c r="F19" s="126"/>
      <c r="G19" s="128" t="s">
        <v>53</v>
      </c>
      <c r="H19" s="129" t="s">
        <v>312</v>
      </c>
      <c r="I19" s="128" t="s">
        <v>307</v>
      </c>
      <c r="J19" s="197"/>
      <c r="K19" s="197"/>
      <c r="L19" s="197"/>
      <c r="M19" s="198"/>
      <c r="N19" s="198"/>
      <c r="O19" s="199"/>
      <c r="P19" s="106" t="b">
        <f t="shared" si="0"/>
        <v>0</v>
      </c>
    </row>
    <row r="20" spans="1:16" x14ac:dyDescent="0.3">
      <c r="A20" s="124">
        <v>1</v>
      </c>
      <c r="B20" s="37" t="s">
        <v>8</v>
      </c>
      <c r="C20" s="4">
        <v>18</v>
      </c>
      <c r="D20" s="125" t="s">
        <v>26</v>
      </c>
      <c r="E20" s="11" t="s">
        <v>285</v>
      </c>
      <c r="F20" s="126" t="s">
        <v>52</v>
      </c>
      <c r="G20" s="126"/>
      <c r="H20" s="122" t="s">
        <v>262</v>
      </c>
      <c r="I20" s="123" t="s">
        <v>263</v>
      </c>
      <c r="J20" s="197" t="s">
        <v>1383</v>
      </c>
      <c r="K20" s="197" t="s">
        <v>1383</v>
      </c>
      <c r="L20" s="197"/>
      <c r="M20" s="198"/>
      <c r="N20" s="198"/>
      <c r="O20" s="199"/>
      <c r="P20" s="106" t="b">
        <f t="shared" si="0"/>
        <v>1</v>
      </c>
    </row>
    <row r="21" spans="1:16" x14ac:dyDescent="0.25">
      <c r="A21" s="124">
        <v>1</v>
      </c>
      <c r="B21" s="37" t="s">
        <v>8</v>
      </c>
      <c r="C21" s="4">
        <v>19</v>
      </c>
      <c r="D21" s="125" t="s">
        <v>27</v>
      </c>
      <c r="E21" s="11" t="s">
        <v>286</v>
      </c>
      <c r="F21" s="126"/>
      <c r="G21" s="128" t="s">
        <v>53</v>
      </c>
      <c r="H21" s="129" t="s">
        <v>312</v>
      </c>
      <c r="I21" s="128" t="s">
        <v>307</v>
      </c>
      <c r="J21" s="197"/>
      <c r="K21" s="197"/>
      <c r="L21" s="197"/>
      <c r="M21" s="198"/>
      <c r="N21" s="198"/>
      <c r="O21" s="199"/>
      <c r="P21" s="106" t="b">
        <f t="shared" si="0"/>
        <v>0</v>
      </c>
    </row>
    <row r="22" spans="1:16" x14ac:dyDescent="0.3">
      <c r="A22" s="124">
        <v>1</v>
      </c>
      <c r="B22" s="37" t="s">
        <v>8</v>
      </c>
      <c r="C22" s="4">
        <v>20</v>
      </c>
      <c r="D22" s="125" t="s">
        <v>28</v>
      </c>
      <c r="E22" s="11" t="s">
        <v>287</v>
      </c>
      <c r="F22" s="126" t="s">
        <v>52</v>
      </c>
      <c r="G22" s="131"/>
      <c r="H22" s="122" t="s">
        <v>170</v>
      </c>
      <c r="I22" s="123" t="s">
        <v>265</v>
      </c>
      <c r="J22" s="197"/>
      <c r="K22" s="197"/>
      <c r="L22" s="197"/>
      <c r="M22" s="198"/>
      <c r="N22" s="198"/>
      <c r="O22" s="199"/>
      <c r="P22" s="106" t="b">
        <f t="shared" si="0"/>
        <v>0</v>
      </c>
    </row>
    <row r="23" spans="1:16" x14ac:dyDescent="0.25">
      <c r="A23" s="124">
        <v>1</v>
      </c>
      <c r="B23" s="37" t="s">
        <v>8</v>
      </c>
      <c r="C23" s="4">
        <v>21</v>
      </c>
      <c r="D23" s="125" t="s">
        <v>29</v>
      </c>
      <c r="E23" s="11" t="s">
        <v>288</v>
      </c>
      <c r="F23" s="128"/>
      <c r="G23" s="128" t="s">
        <v>53</v>
      </c>
      <c r="H23" s="129" t="s">
        <v>312</v>
      </c>
      <c r="I23" s="128" t="s">
        <v>307</v>
      </c>
      <c r="J23" s="197"/>
      <c r="K23" s="197"/>
      <c r="L23" s="197"/>
      <c r="M23" s="198"/>
      <c r="N23" s="198"/>
      <c r="O23" s="199"/>
      <c r="P23" s="106" t="b">
        <f t="shared" si="0"/>
        <v>0</v>
      </c>
    </row>
    <row r="24" spans="1:16" x14ac:dyDescent="0.3">
      <c r="A24" s="124">
        <v>1</v>
      </c>
      <c r="B24" s="37" t="s">
        <v>8</v>
      </c>
      <c r="C24" s="4">
        <v>22</v>
      </c>
      <c r="D24" s="125" t="s">
        <v>51</v>
      </c>
      <c r="E24" s="11" t="s">
        <v>289</v>
      </c>
      <c r="F24" s="126" t="s">
        <v>52</v>
      </c>
      <c r="G24" s="126"/>
      <c r="H24" s="122" t="s">
        <v>262</v>
      </c>
      <c r="I24" s="123" t="s">
        <v>263</v>
      </c>
      <c r="J24" s="197" t="s">
        <v>1383</v>
      </c>
      <c r="K24" s="197"/>
      <c r="L24" s="197"/>
      <c r="M24" s="198"/>
      <c r="N24" s="198"/>
      <c r="O24" s="199"/>
      <c r="P24" s="106" t="b">
        <f t="shared" si="0"/>
        <v>1</v>
      </c>
    </row>
    <row r="25" spans="1:16" x14ac:dyDescent="0.3">
      <c r="A25" s="124">
        <v>1</v>
      </c>
      <c r="B25" s="37" t="s">
        <v>8</v>
      </c>
      <c r="C25" s="4">
        <v>23</v>
      </c>
      <c r="D25" s="125" t="s">
        <v>30</v>
      </c>
      <c r="E25" s="11" t="s">
        <v>290</v>
      </c>
      <c r="F25" s="126" t="s">
        <v>52</v>
      </c>
      <c r="G25" s="126"/>
      <c r="H25" s="122" t="s">
        <v>262</v>
      </c>
      <c r="I25" s="123" t="s">
        <v>263</v>
      </c>
      <c r="J25" s="197" t="s">
        <v>1383</v>
      </c>
      <c r="K25" s="197"/>
      <c r="L25" s="197"/>
      <c r="M25" s="198"/>
      <c r="N25" s="198"/>
      <c r="O25" s="199"/>
      <c r="P25" s="106" t="b">
        <f t="shared" si="0"/>
        <v>1</v>
      </c>
    </row>
    <row r="26" spans="1:16" x14ac:dyDescent="0.3">
      <c r="A26" s="124">
        <v>1</v>
      </c>
      <c r="B26" s="37" t="s">
        <v>8</v>
      </c>
      <c r="C26" s="4">
        <v>24</v>
      </c>
      <c r="D26" s="125" t="s">
        <v>31</v>
      </c>
      <c r="E26" s="11" t="s">
        <v>291</v>
      </c>
      <c r="F26" s="126" t="s">
        <v>52</v>
      </c>
      <c r="G26" s="126"/>
      <c r="H26" s="122" t="s">
        <v>314</v>
      </c>
      <c r="I26" s="130" t="s">
        <v>313</v>
      </c>
      <c r="J26" s="197" t="s">
        <v>1383</v>
      </c>
      <c r="K26" s="197"/>
      <c r="L26" s="197" t="s">
        <v>1383</v>
      </c>
      <c r="M26" s="198"/>
      <c r="N26" s="198"/>
      <c r="O26" s="199"/>
      <c r="P26" s="106" t="b">
        <f t="shared" si="0"/>
        <v>1</v>
      </c>
    </row>
    <row r="27" spans="1:16" x14ac:dyDescent="0.25">
      <c r="A27" s="124">
        <v>1</v>
      </c>
      <c r="B27" s="37" t="s">
        <v>8</v>
      </c>
      <c r="C27" s="4">
        <v>25</v>
      </c>
      <c r="D27" s="125" t="s">
        <v>55</v>
      </c>
      <c r="E27" s="11" t="s">
        <v>292</v>
      </c>
      <c r="F27" s="128"/>
      <c r="G27" s="128" t="s">
        <v>53</v>
      </c>
      <c r="H27" s="129" t="s">
        <v>312</v>
      </c>
      <c r="I27" s="128" t="s">
        <v>307</v>
      </c>
      <c r="J27" s="197"/>
      <c r="K27" s="197"/>
      <c r="L27" s="197"/>
      <c r="M27" s="198"/>
      <c r="N27" s="198"/>
      <c r="O27" s="199"/>
      <c r="P27" s="106" t="b">
        <f t="shared" si="0"/>
        <v>0</v>
      </c>
    </row>
    <row r="28" spans="1:16" x14ac:dyDescent="0.3">
      <c r="A28" s="124">
        <v>1</v>
      </c>
      <c r="B28" s="37" t="s">
        <v>8</v>
      </c>
      <c r="C28" s="4">
        <v>26</v>
      </c>
      <c r="D28" s="125" t="s">
        <v>32</v>
      </c>
      <c r="E28" s="11" t="s">
        <v>293</v>
      </c>
      <c r="F28" s="126" t="s">
        <v>52</v>
      </c>
      <c r="G28" s="126"/>
      <c r="H28" s="122" t="s">
        <v>262</v>
      </c>
      <c r="I28" s="123" t="s">
        <v>263</v>
      </c>
      <c r="J28" s="197" t="s">
        <v>1383</v>
      </c>
      <c r="K28" s="197"/>
      <c r="L28" s="197"/>
      <c r="M28" s="198"/>
      <c r="N28" s="198"/>
      <c r="O28" s="199"/>
      <c r="P28" s="106" t="b">
        <f t="shared" si="0"/>
        <v>1</v>
      </c>
    </row>
    <row r="29" spans="1:16" x14ac:dyDescent="0.3">
      <c r="A29" s="124">
        <v>1</v>
      </c>
      <c r="B29" s="37" t="s">
        <v>8</v>
      </c>
      <c r="C29" s="4">
        <v>27</v>
      </c>
      <c r="D29" s="125" t="s">
        <v>33</v>
      </c>
      <c r="E29" s="11" t="s">
        <v>294</v>
      </c>
      <c r="F29" s="126" t="s">
        <v>52</v>
      </c>
      <c r="G29" s="126"/>
      <c r="H29" s="122" t="s">
        <v>262</v>
      </c>
      <c r="I29" s="123" t="s">
        <v>263</v>
      </c>
      <c r="J29" s="197"/>
      <c r="K29" s="197"/>
      <c r="L29" s="197"/>
      <c r="M29" s="198"/>
      <c r="N29" s="198"/>
      <c r="O29" s="199"/>
      <c r="P29" s="106" t="b">
        <f t="shared" si="0"/>
        <v>0</v>
      </c>
    </row>
    <row r="30" spans="1:16" x14ac:dyDescent="0.3">
      <c r="A30" s="124">
        <v>1</v>
      </c>
      <c r="B30" s="37" t="s">
        <v>8</v>
      </c>
      <c r="C30" s="4">
        <v>28</v>
      </c>
      <c r="D30" s="125" t="s">
        <v>34</v>
      </c>
      <c r="E30" s="11" t="s">
        <v>295</v>
      </c>
      <c r="F30" s="126" t="s">
        <v>52</v>
      </c>
      <c r="G30" s="126"/>
      <c r="H30" s="122" t="s">
        <v>262</v>
      </c>
      <c r="I30" s="123" t="s">
        <v>263</v>
      </c>
      <c r="J30" s="197" t="s">
        <v>1383</v>
      </c>
      <c r="K30" s="197"/>
      <c r="L30" s="197"/>
      <c r="M30" s="198"/>
      <c r="N30" s="198"/>
      <c r="O30" s="199"/>
      <c r="P30" s="106" t="b">
        <f t="shared" si="0"/>
        <v>1</v>
      </c>
    </row>
    <row r="31" spans="1:16" x14ac:dyDescent="0.25">
      <c r="A31" s="124">
        <v>1</v>
      </c>
      <c r="B31" s="37" t="s">
        <v>8</v>
      </c>
      <c r="C31" s="4">
        <v>29</v>
      </c>
      <c r="D31" s="125" t="s">
        <v>35</v>
      </c>
      <c r="E31" s="11" t="s">
        <v>296</v>
      </c>
      <c r="F31" s="128"/>
      <c r="G31" s="128" t="s">
        <v>53</v>
      </c>
      <c r="H31" s="129" t="s">
        <v>312</v>
      </c>
      <c r="I31" s="128" t="s">
        <v>307</v>
      </c>
      <c r="J31" s="197"/>
      <c r="K31" s="197"/>
      <c r="L31" s="197"/>
      <c r="M31" s="198"/>
      <c r="N31" s="198"/>
      <c r="O31" s="199"/>
      <c r="P31" s="106" t="b">
        <f t="shared" si="0"/>
        <v>0</v>
      </c>
    </row>
    <row r="32" spans="1:16" x14ac:dyDescent="0.3">
      <c r="A32" s="124">
        <v>1</v>
      </c>
      <c r="B32" s="37" t="s">
        <v>8</v>
      </c>
      <c r="C32" s="4">
        <v>30</v>
      </c>
      <c r="D32" s="125" t="s">
        <v>36</v>
      </c>
      <c r="E32" s="11" t="s">
        <v>297</v>
      </c>
      <c r="F32" s="126" t="s">
        <v>52</v>
      </c>
      <c r="G32" s="126"/>
      <c r="H32" s="122" t="s">
        <v>262</v>
      </c>
      <c r="I32" s="123" t="s">
        <v>263</v>
      </c>
      <c r="J32" s="197"/>
      <c r="K32" s="197"/>
      <c r="L32" s="197"/>
      <c r="M32" s="198"/>
      <c r="N32" s="198"/>
      <c r="O32" s="199"/>
      <c r="P32" s="106" t="b">
        <f t="shared" si="0"/>
        <v>0</v>
      </c>
    </row>
    <row r="33" spans="1:16" x14ac:dyDescent="0.3">
      <c r="A33" s="124">
        <v>1</v>
      </c>
      <c r="B33" s="37" t="s">
        <v>8</v>
      </c>
      <c r="C33" s="4">
        <v>31</v>
      </c>
      <c r="D33" s="125" t="s">
        <v>37</v>
      </c>
      <c r="E33" s="11" t="s">
        <v>298</v>
      </c>
      <c r="F33" s="126" t="s">
        <v>52</v>
      </c>
      <c r="G33" s="126"/>
      <c r="H33" s="122" t="s">
        <v>262</v>
      </c>
      <c r="I33" s="123" t="s">
        <v>263</v>
      </c>
      <c r="J33" s="197"/>
      <c r="K33" s="197"/>
      <c r="L33" s="197"/>
      <c r="M33" s="198"/>
      <c r="N33" s="198"/>
      <c r="O33" s="199"/>
      <c r="P33" s="106" t="b">
        <f t="shared" si="0"/>
        <v>0</v>
      </c>
    </row>
    <row r="34" spans="1:16" x14ac:dyDescent="0.3">
      <c r="A34" s="124">
        <v>1</v>
      </c>
      <c r="B34" s="37" t="s">
        <v>8</v>
      </c>
      <c r="C34" s="4">
        <v>32</v>
      </c>
      <c r="D34" s="125" t="s">
        <v>38</v>
      </c>
      <c r="E34" s="11" t="s">
        <v>299</v>
      </c>
      <c r="F34" s="126" t="s">
        <v>52</v>
      </c>
      <c r="G34" s="126"/>
      <c r="H34" s="122" t="s">
        <v>314</v>
      </c>
      <c r="I34" s="130" t="s">
        <v>313</v>
      </c>
      <c r="J34" s="197" t="s">
        <v>1383</v>
      </c>
      <c r="K34" s="197"/>
      <c r="L34" s="197"/>
      <c r="M34" s="198"/>
      <c r="N34" s="198"/>
      <c r="O34" s="199"/>
      <c r="P34" s="106" t="b">
        <f t="shared" si="0"/>
        <v>1</v>
      </c>
    </row>
    <row r="35" spans="1:16" x14ac:dyDescent="0.3">
      <c r="A35" s="124">
        <v>1</v>
      </c>
      <c r="B35" s="37" t="s">
        <v>8</v>
      </c>
      <c r="C35" s="4">
        <v>33</v>
      </c>
      <c r="D35" s="125" t="s">
        <v>39</v>
      </c>
      <c r="E35" s="11" t="s">
        <v>300</v>
      </c>
      <c r="F35" s="126" t="s">
        <v>52</v>
      </c>
      <c r="G35" s="126"/>
      <c r="H35" s="122" t="s">
        <v>262</v>
      </c>
      <c r="I35" s="123" t="s">
        <v>263</v>
      </c>
      <c r="J35" s="197" t="s">
        <v>1383</v>
      </c>
      <c r="K35" s="197"/>
      <c r="L35" s="197" t="s">
        <v>1383</v>
      </c>
      <c r="M35" s="198"/>
      <c r="N35" s="198"/>
      <c r="O35" s="199"/>
      <c r="P35" s="106" t="b">
        <f t="shared" si="0"/>
        <v>1</v>
      </c>
    </row>
    <row r="36" spans="1:16" x14ac:dyDescent="0.3">
      <c r="A36" s="124">
        <v>1</v>
      </c>
      <c r="B36" s="37" t="s">
        <v>8</v>
      </c>
      <c r="C36" s="4">
        <v>34</v>
      </c>
      <c r="D36" s="125" t="s">
        <v>40</v>
      </c>
      <c r="E36" s="11" t="s">
        <v>301</v>
      </c>
      <c r="F36" s="126" t="s">
        <v>52</v>
      </c>
      <c r="G36" s="126"/>
      <c r="H36" s="122" t="s">
        <v>262</v>
      </c>
      <c r="I36" s="123" t="s">
        <v>263</v>
      </c>
      <c r="J36" s="197" t="s">
        <v>1383</v>
      </c>
      <c r="K36" s="197" t="s">
        <v>1383</v>
      </c>
      <c r="L36" s="197"/>
      <c r="M36" s="198"/>
      <c r="N36" s="198"/>
      <c r="O36" s="199"/>
      <c r="P36" s="106" t="b">
        <f t="shared" si="0"/>
        <v>1</v>
      </c>
    </row>
    <row r="37" spans="1:16" x14ac:dyDescent="0.3">
      <c r="A37" s="124">
        <v>1</v>
      </c>
      <c r="B37" s="37" t="s">
        <v>8</v>
      </c>
      <c r="C37" s="4">
        <v>35</v>
      </c>
      <c r="D37" s="125" t="s">
        <v>41</v>
      </c>
      <c r="E37" s="11" t="s">
        <v>302</v>
      </c>
      <c r="F37" s="126" t="s">
        <v>52</v>
      </c>
      <c r="G37" s="126"/>
      <c r="H37" s="122" t="s">
        <v>262</v>
      </c>
      <c r="I37" s="123" t="s">
        <v>263</v>
      </c>
      <c r="J37" s="197"/>
      <c r="K37" s="197"/>
      <c r="L37" s="197"/>
      <c r="M37" s="198"/>
      <c r="N37" s="198"/>
      <c r="O37" s="199"/>
      <c r="P37" s="106" t="b">
        <f t="shared" si="0"/>
        <v>0</v>
      </c>
    </row>
    <row r="38" spans="1:16" x14ac:dyDescent="0.3">
      <c r="A38" s="124">
        <v>1</v>
      </c>
      <c r="B38" s="37" t="s">
        <v>8</v>
      </c>
      <c r="C38" s="4">
        <v>36</v>
      </c>
      <c r="D38" s="125" t="s">
        <v>42</v>
      </c>
      <c r="E38" s="11" t="s">
        <v>303</v>
      </c>
      <c r="F38" s="126" t="s">
        <v>52</v>
      </c>
      <c r="G38" s="126"/>
      <c r="H38" s="122" t="s">
        <v>262</v>
      </c>
      <c r="I38" s="123" t="s">
        <v>263</v>
      </c>
      <c r="J38" s="197"/>
      <c r="K38" s="197"/>
      <c r="L38" s="197"/>
      <c r="M38" s="198"/>
      <c r="N38" s="198"/>
      <c r="O38" s="199"/>
      <c r="P38" s="106" t="b">
        <f t="shared" si="0"/>
        <v>0</v>
      </c>
    </row>
    <row r="39" spans="1:16" x14ac:dyDescent="0.3">
      <c r="A39" s="124">
        <v>1</v>
      </c>
      <c r="B39" s="37" t="s">
        <v>8</v>
      </c>
      <c r="C39" s="4">
        <v>37</v>
      </c>
      <c r="D39" s="17" t="s">
        <v>43</v>
      </c>
      <c r="E39" s="38" t="s">
        <v>304</v>
      </c>
      <c r="F39" s="126" t="s">
        <v>52</v>
      </c>
      <c r="G39" s="126"/>
      <c r="H39" s="127" t="s">
        <v>312</v>
      </c>
      <c r="I39" s="11" t="s">
        <v>307</v>
      </c>
      <c r="J39" s="197" t="s">
        <v>1383</v>
      </c>
      <c r="K39" s="197"/>
      <c r="L39" s="197"/>
      <c r="M39" s="198"/>
      <c r="N39" s="198"/>
      <c r="O39" s="199"/>
      <c r="P39" s="106" t="b">
        <f t="shared" si="0"/>
        <v>1</v>
      </c>
    </row>
    <row r="40" spans="1:16" x14ac:dyDescent="0.3">
      <c r="A40" s="124">
        <v>1</v>
      </c>
      <c r="B40" s="37" t="s">
        <v>8</v>
      </c>
      <c r="C40" s="4">
        <v>38</v>
      </c>
      <c r="D40" s="125" t="s">
        <v>44</v>
      </c>
      <c r="E40" s="11" t="s">
        <v>305</v>
      </c>
      <c r="F40" s="126" t="s">
        <v>52</v>
      </c>
      <c r="G40" s="126"/>
      <c r="H40" s="122" t="s">
        <v>262</v>
      </c>
      <c r="I40" s="123" t="s">
        <v>263</v>
      </c>
      <c r="J40" s="197"/>
      <c r="K40" s="197"/>
      <c r="L40" s="197"/>
      <c r="M40" s="198"/>
      <c r="N40" s="198"/>
      <c r="O40" s="199"/>
      <c r="P40" s="106" t="b">
        <f t="shared" si="0"/>
        <v>0</v>
      </c>
    </row>
    <row r="41" spans="1:16" x14ac:dyDescent="0.3">
      <c r="A41" s="124">
        <v>1</v>
      </c>
      <c r="B41" s="37" t="s">
        <v>8</v>
      </c>
      <c r="C41" s="4">
        <v>39</v>
      </c>
      <c r="D41" s="125" t="s">
        <v>45</v>
      </c>
      <c r="E41" s="11" t="s">
        <v>306</v>
      </c>
      <c r="F41" s="126" t="s">
        <v>52</v>
      </c>
      <c r="G41" s="126"/>
      <c r="H41" s="122" t="s">
        <v>262</v>
      </c>
      <c r="I41" s="123" t="s">
        <v>263</v>
      </c>
      <c r="J41" s="197" t="s">
        <v>1383</v>
      </c>
      <c r="K41" s="197"/>
      <c r="L41" s="197"/>
      <c r="M41" s="198"/>
      <c r="N41" s="198"/>
      <c r="O41" s="199"/>
      <c r="P41" s="106" t="b">
        <f t="shared" si="0"/>
        <v>1</v>
      </c>
    </row>
    <row r="42" spans="1:16" x14ac:dyDescent="0.3">
      <c r="A42" s="124">
        <v>1</v>
      </c>
      <c r="B42" s="37" t="s">
        <v>8</v>
      </c>
      <c r="C42" s="4">
        <v>40</v>
      </c>
      <c r="D42" s="125" t="s">
        <v>46</v>
      </c>
      <c r="E42" s="11" t="s">
        <v>307</v>
      </c>
      <c r="F42" s="126" t="s">
        <v>52</v>
      </c>
      <c r="G42" s="126"/>
      <c r="H42" s="122" t="s">
        <v>262</v>
      </c>
      <c r="I42" s="123" t="s">
        <v>263</v>
      </c>
      <c r="J42" s="197" t="s">
        <v>1383</v>
      </c>
      <c r="K42" s="197"/>
      <c r="L42" s="197"/>
      <c r="M42" s="198"/>
      <c r="N42" s="197" t="s">
        <v>1383</v>
      </c>
      <c r="O42" s="199"/>
      <c r="P42" s="106" t="b">
        <f t="shared" si="0"/>
        <v>1</v>
      </c>
    </row>
    <row r="43" spans="1:16" x14ac:dyDescent="0.3">
      <c r="A43" s="124">
        <v>1</v>
      </c>
      <c r="B43" s="37" t="s">
        <v>8</v>
      </c>
      <c r="C43" s="4">
        <v>41</v>
      </c>
      <c r="D43" s="125" t="s">
        <v>47</v>
      </c>
      <c r="E43" s="11" t="s">
        <v>308</v>
      </c>
      <c r="F43" s="126" t="s">
        <v>52</v>
      </c>
      <c r="G43" s="126"/>
      <c r="H43" s="122" t="s">
        <v>262</v>
      </c>
      <c r="I43" s="123" t="s">
        <v>263</v>
      </c>
      <c r="J43" s="197" t="s">
        <v>1383</v>
      </c>
      <c r="K43" s="197"/>
      <c r="L43" s="197"/>
      <c r="M43" s="198"/>
      <c r="N43" s="198"/>
      <c r="O43" s="199"/>
      <c r="P43" s="106" t="b">
        <f t="shared" si="0"/>
        <v>1</v>
      </c>
    </row>
    <row r="44" spans="1:16" x14ac:dyDescent="0.3">
      <c r="A44" s="124">
        <v>1</v>
      </c>
      <c r="B44" s="37" t="s">
        <v>8</v>
      </c>
      <c r="C44" s="4">
        <v>42</v>
      </c>
      <c r="D44" s="125" t="s">
        <v>48</v>
      </c>
      <c r="E44" s="11" t="s">
        <v>309</v>
      </c>
      <c r="F44" s="126" t="s">
        <v>52</v>
      </c>
      <c r="G44" s="126"/>
      <c r="H44" s="122" t="s">
        <v>314</v>
      </c>
      <c r="I44" s="130" t="s">
        <v>313</v>
      </c>
      <c r="J44" s="197" t="s">
        <v>1383</v>
      </c>
      <c r="K44" s="197"/>
      <c r="L44" s="197"/>
      <c r="M44" s="198"/>
      <c r="N44" s="198"/>
      <c r="O44" s="199"/>
      <c r="P44" s="106" t="b">
        <f t="shared" si="0"/>
        <v>1</v>
      </c>
    </row>
    <row r="45" spans="1:16" x14ac:dyDescent="0.3">
      <c r="A45" s="124">
        <v>1</v>
      </c>
      <c r="B45" s="37" t="s">
        <v>8</v>
      </c>
      <c r="C45" s="4">
        <v>43</v>
      </c>
      <c r="D45" s="125" t="s">
        <v>49</v>
      </c>
      <c r="E45" s="11" t="s">
        <v>310</v>
      </c>
      <c r="F45" s="126" t="s">
        <v>52</v>
      </c>
      <c r="G45" s="126"/>
      <c r="H45" s="122" t="s">
        <v>314</v>
      </c>
      <c r="I45" s="130" t="s">
        <v>313</v>
      </c>
      <c r="J45" s="197"/>
      <c r="K45" s="197"/>
      <c r="L45" s="197"/>
      <c r="M45" s="198"/>
      <c r="N45" s="198"/>
      <c r="O45" s="199"/>
      <c r="P45" s="106" t="b">
        <f t="shared" si="0"/>
        <v>0</v>
      </c>
    </row>
    <row r="46" spans="1:16" ht="19.5" thickBot="1" x14ac:dyDescent="0.3">
      <c r="A46" s="132">
        <v>1</v>
      </c>
      <c r="B46" s="39" t="s">
        <v>8</v>
      </c>
      <c r="C46" s="20">
        <v>44</v>
      </c>
      <c r="D46" s="133" t="s">
        <v>50</v>
      </c>
      <c r="E46" s="134" t="s">
        <v>311</v>
      </c>
      <c r="F46" s="135"/>
      <c r="G46" s="135" t="s">
        <v>53</v>
      </c>
      <c r="H46" s="136" t="s">
        <v>312</v>
      </c>
      <c r="I46" s="135" t="s">
        <v>307</v>
      </c>
      <c r="J46" s="200"/>
      <c r="K46" s="200"/>
      <c r="L46" s="200"/>
      <c r="M46" s="201"/>
      <c r="N46" s="201"/>
      <c r="O46" s="202"/>
      <c r="P46" s="106" t="b">
        <f t="shared" si="0"/>
        <v>0</v>
      </c>
    </row>
    <row r="47" spans="1:16" ht="19.5" hidden="1" thickBot="1" x14ac:dyDescent="0.3">
      <c r="A47" s="137">
        <v>1</v>
      </c>
      <c r="B47" s="138" t="s">
        <v>8</v>
      </c>
      <c r="C47" s="15">
        <f>COUNTA(C3:C46)</f>
        <v>44</v>
      </c>
      <c r="D47" s="139" t="s">
        <v>1</v>
      </c>
      <c r="E47" s="139" t="s">
        <v>1374</v>
      </c>
      <c r="F47" s="15">
        <f>COUNTA(F3:F46)</f>
        <v>37</v>
      </c>
      <c r="G47" s="15">
        <f>COUNTA(G3:G46)</f>
        <v>7</v>
      </c>
      <c r="H47" s="304" t="s">
        <v>3</v>
      </c>
      <c r="I47" s="305"/>
      <c r="J47" s="107">
        <f t="shared" ref="J47:N47" si="1">COUNTA(J3:J46)</f>
        <v>24</v>
      </c>
      <c r="K47" s="107">
        <f t="shared" si="1"/>
        <v>2</v>
      </c>
      <c r="L47" s="107">
        <f t="shared" si="1"/>
        <v>2</v>
      </c>
      <c r="M47" s="107">
        <f t="shared" si="1"/>
        <v>0</v>
      </c>
      <c r="N47" s="107">
        <f t="shared" si="1"/>
        <v>3</v>
      </c>
      <c r="O47" s="108">
        <f>COUNTA(O3:O46)</f>
        <v>0</v>
      </c>
      <c r="P47" s="108">
        <f>COUNTIF(P3:P46,TRUE)</f>
        <v>24</v>
      </c>
    </row>
    <row r="48" spans="1:16" ht="19.5" hidden="1" thickBot="1" x14ac:dyDescent="0.35">
      <c r="A48" s="140">
        <v>2</v>
      </c>
      <c r="B48" s="36" t="s">
        <v>83</v>
      </c>
      <c r="C48" s="141">
        <v>1</v>
      </c>
      <c r="D48" s="120" t="s">
        <v>57</v>
      </c>
      <c r="E48" s="10"/>
      <c r="F48" s="142"/>
      <c r="G48" s="143" t="s">
        <v>53</v>
      </c>
      <c r="H48" s="142"/>
      <c r="I48" s="144"/>
      <c r="J48" s="194"/>
      <c r="K48" s="194"/>
      <c r="L48" s="194"/>
      <c r="M48" s="195"/>
      <c r="N48" s="195"/>
      <c r="O48" s="196"/>
      <c r="P48" s="106" t="b">
        <f t="shared" si="0"/>
        <v>0</v>
      </c>
    </row>
    <row r="49" spans="1:16" ht="19.5" hidden="1" thickBot="1" x14ac:dyDescent="0.35">
      <c r="A49" s="140">
        <v>2</v>
      </c>
      <c r="B49" s="36" t="s">
        <v>83</v>
      </c>
      <c r="C49" s="8">
        <v>2</v>
      </c>
      <c r="D49" s="125" t="s">
        <v>58</v>
      </c>
      <c r="E49" s="11"/>
      <c r="F49" s="122"/>
      <c r="G49" s="143" t="s">
        <v>53</v>
      </c>
      <c r="H49" s="122"/>
      <c r="I49" s="123"/>
      <c r="J49" s="197"/>
      <c r="K49" s="197"/>
      <c r="L49" s="197"/>
      <c r="M49" s="198"/>
      <c r="N49" s="198"/>
      <c r="O49" s="199"/>
      <c r="P49" s="106" t="b">
        <f t="shared" si="0"/>
        <v>0</v>
      </c>
    </row>
    <row r="50" spans="1:16" ht="19.5" hidden="1" thickBot="1" x14ac:dyDescent="0.35">
      <c r="A50" s="140">
        <v>2</v>
      </c>
      <c r="B50" s="36" t="s">
        <v>83</v>
      </c>
      <c r="C50" s="8">
        <v>3</v>
      </c>
      <c r="D50" s="125" t="s">
        <v>59</v>
      </c>
      <c r="E50" s="11"/>
      <c r="F50" s="122"/>
      <c r="G50" s="143" t="s">
        <v>53</v>
      </c>
      <c r="H50" s="122"/>
      <c r="I50" s="123"/>
      <c r="J50" s="197"/>
      <c r="K50" s="197"/>
      <c r="L50" s="197"/>
      <c r="M50" s="198"/>
      <c r="N50" s="198"/>
      <c r="O50" s="199"/>
      <c r="P50" s="106" t="b">
        <f t="shared" si="0"/>
        <v>0</v>
      </c>
    </row>
    <row r="51" spans="1:16" ht="19.5" hidden="1" thickBot="1" x14ac:dyDescent="0.35">
      <c r="A51" s="140">
        <v>2</v>
      </c>
      <c r="B51" s="36" t="s">
        <v>83</v>
      </c>
      <c r="C51" s="8">
        <v>4</v>
      </c>
      <c r="D51" s="125" t="s">
        <v>60</v>
      </c>
      <c r="E51" s="11"/>
      <c r="F51" s="122"/>
      <c r="G51" s="143" t="s">
        <v>53</v>
      </c>
      <c r="H51" s="122"/>
      <c r="I51" s="123"/>
      <c r="J51" s="197"/>
      <c r="K51" s="197"/>
      <c r="L51" s="197"/>
      <c r="M51" s="198"/>
      <c r="N51" s="198"/>
      <c r="O51" s="199"/>
      <c r="P51" s="106" t="b">
        <f t="shared" si="0"/>
        <v>0</v>
      </c>
    </row>
    <row r="52" spans="1:16" ht="19.5" hidden="1" thickBot="1" x14ac:dyDescent="0.35">
      <c r="A52" s="140">
        <v>2</v>
      </c>
      <c r="B52" s="36" t="s">
        <v>83</v>
      </c>
      <c r="C52" s="8">
        <v>5</v>
      </c>
      <c r="D52" s="125" t="s">
        <v>61</v>
      </c>
      <c r="E52" s="11"/>
      <c r="F52" s="122"/>
      <c r="G52" s="143" t="s">
        <v>53</v>
      </c>
      <c r="H52" s="122"/>
      <c r="I52" s="123"/>
      <c r="J52" s="197"/>
      <c r="K52" s="197"/>
      <c r="L52" s="197"/>
      <c r="M52" s="198"/>
      <c r="N52" s="198"/>
      <c r="O52" s="199"/>
      <c r="P52" s="106" t="b">
        <f t="shared" si="0"/>
        <v>0</v>
      </c>
    </row>
    <row r="53" spans="1:16" ht="19.5" hidden="1" thickBot="1" x14ac:dyDescent="0.35">
      <c r="A53" s="140">
        <v>2</v>
      </c>
      <c r="B53" s="36" t="s">
        <v>83</v>
      </c>
      <c r="C53" s="8">
        <v>6</v>
      </c>
      <c r="D53" s="125" t="s">
        <v>62</v>
      </c>
      <c r="E53" s="11"/>
      <c r="F53" s="122"/>
      <c r="G53" s="143" t="s">
        <v>53</v>
      </c>
      <c r="H53" s="122"/>
      <c r="I53" s="123"/>
      <c r="J53" s="197"/>
      <c r="K53" s="197"/>
      <c r="L53" s="197"/>
      <c r="M53" s="198"/>
      <c r="N53" s="198"/>
      <c r="O53" s="199"/>
      <c r="P53" s="106" t="b">
        <f t="shared" si="0"/>
        <v>0</v>
      </c>
    </row>
    <row r="54" spans="1:16" ht="19.5" hidden="1" thickBot="1" x14ac:dyDescent="0.35">
      <c r="A54" s="140">
        <v>2</v>
      </c>
      <c r="B54" s="36" t="s">
        <v>83</v>
      </c>
      <c r="C54" s="8">
        <v>7</v>
      </c>
      <c r="D54" s="125" t="s">
        <v>63</v>
      </c>
      <c r="E54" s="11"/>
      <c r="F54" s="122"/>
      <c r="G54" s="143" t="s">
        <v>53</v>
      </c>
      <c r="H54" s="122"/>
      <c r="I54" s="123"/>
      <c r="J54" s="197"/>
      <c r="K54" s="197"/>
      <c r="L54" s="197"/>
      <c r="M54" s="198"/>
      <c r="N54" s="198"/>
      <c r="O54" s="199"/>
      <c r="P54" s="106" t="b">
        <f t="shared" si="0"/>
        <v>0</v>
      </c>
    </row>
    <row r="55" spans="1:16" ht="19.5" hidden="1" thickBot="1" x14ac:dyDescent="0.35">
      <c r="A55" s="140">
        <v>2</v>
      </c>
      <c r="B55" s="36" t="s">
        <v>83</v>
      </c>
      <c r="C55" s="8">
        <v>8</v>
      </c>
      <c r="D55" s="125" t="s">
        <v>64</v>
      </c>
      <c r="E55" s="11"/>
      <c r="F55" s="122"/>
      <c r="G55" s="143" t="s">
        <v>53</v>
      </c>
      <c r="H55" s="122"/>
      <c r="I55" s="123"/>
      <c r="J55" s="197"/>
      <c r="K55" s="197"/>
      <c r="L55" s="197"/>
      <c r="M55" s="198"/>
      <c r="N55" s="198"/>
      <c r="O55" s="199"/>
      <c r="P55" s="106" t="b">
        <f t="shared" si="0"/>
        <v>0</v>
      </c>
    </row>
    <row r="56" spans="1:16" ht="19.5" hidden="1" thickBot="1" x14ac:dyDescent="0.35">
      <c r="A56" s="140">
        <v>2</v>
      </c>
      <c r="B56" s="36" t="s">
        <v>83</v>
      </c>
      <c r="C56" s="8">
        <v>9</v>
      </c>
      <c r="D56" s="125" t="s">
        <v>65</v>
      </c>
      <c r="E56" s="11"/>
      <c r="F56" s="122"/>
      <c r="G56" s="143" t="s">
        <v>53</v>
      </c>
      <c r="H56" s="122"/>
      <c r="I56" s="123"/>
      <c r="J56" s="197"/>
      <c r="K56" s="197"/>
      <c r="L56" s="197"/>
      <c r="M56" s="198"/>
      <c r="N56" s="198"/>
      <c r="O56" s="199"/>
      <c r="P56" s="106" t="b">
        <f t="shared" si="0"/>
        <v>0</v>
      </c>
    </row>
    <row r="57" spans="1:16" ht="19.5" hidden="1" thickBot="1" x14ac:dyDescent="0.35">
      <c r="A57" s="140">
        <v>2</v>
      </c>
      <c r="B57" s="36" t="s">
        <v>83</v>
      </c>
      <c r="C57" s="8">
        <v>10</v>
      </c>
      <c r="D57" s="125" t="s">
        <v>66</v>
      </c>
      <c r="E57" s="11"/>
      <c r="F57" s="122"/>
      <c r="G57" s="143" t="s">
        <v>53</v>
      </c>
      <c r="H57" s="122"/>
      <c r="I57" s="123"/>
      <c r="J57" s="197"/>
      <c r="K57" s="197"/>
      <c r="L57" s="197"/>
      <c r="M57" s="198"/>
      <c r="N57" s="198"/>
      <c r="O57" s="199"/>
      <c r="P57" s="106" t="b">
        <f t="shared" si="0"/>
        <v>0</v>
      </c>
    </row>
    <row r="58" spans="1:16" ht="19.5" hidden="1" thickBot="1" x14ac:dyDescent="0.35">
      <c r="A58" s="140">
        <v>2</v>
      </c>
      <c r="B58" s="36" t="s">
        <v>83</v>
      </c>
      <c r="C58" s="8">
        <v>11</v>
      </c>
      <c r="D58" s="125" t="s">
        <v>67</v>
      </c>
      <c r="E58" s="11"/>
      <c r="F58" s="122"/>
      <c r="G58" s="143" t="s">
        <v>53</v>
      </c>
      <c r="H58" s="122"/>
      <c r="I58" s="123"/>
      <c r="J58" s="197"/>
      <c r="K58" s="197"/>
      <c r="L58" s="197"/>
      <c r="M58" s="198"/>
      <c r="N58" s="198"/>
      <c r="O58" s="199"/>
      <c r="P58" s="106" t="b">
        <f t="shared" si="0"/>
        <v>0</v>
      </c>
    </row>
    <row r="59" spans="1:16" ht="19.5" hidden="1" thickBot="1" x14ac:dyDescent="0.35">
      <c r="A59" s="140">
        <v>2</v>
      </c>
      <c r="B59" s="36" t="s">
        <v>83</v>
      </c>
      <c r="C59" s="8">
        <v>12</v>
      </c>
      <c r="D59" s="125" t="s">
        <v>68</v>
      </c>
      <c r="E59" s="11"/>
      <c r="F59" s="122"/>
      <c r="G59" s="143" t="s">
        <v>53</v>
      </c>
      <c r="H59" s="122"/>
      <c r="I59" s="123"/>
      <c r="J59" s="197"/>
      <c r="K59" s="197"/>
      <c r="L59" s="197"/>
      <c r="M59" s="198"/>
      <c r="N59" s="198"/>
      <c r="O59" s="199"/>
      <c r="P59" s="106" t="b">
        <f t="shared" si="0"/>
        <v>0</v>
      </c>
    </row>
    <row r="60" spans="1:16" ht="19.5" hidden="1" thickBot="1" x14ac:dyDescent="0.35">
      <c r="A60" s="140">
        <v>2</v>
      </c>
      <c r="B60" s="36" t="s">
        <v>83</v>
      </c>
      <c r="C60" s="8">
        <v>13</v>
      </c>
      <c r="D60" s="125" t="s">
        <v>69</v>
      </c>
      <c r="E60" s="11"/>
      <c r="F60" s="122"/>
      <c r="G60" s="143" t="s">
        <v>53</v>
      </c>
      <c r="H60" s="122"/>
      <c r="I60" s="123"/>
      <c r="J60" s="197"/>
      <c r="K60" s="197"/>
      <c r="L60" s="197"/>
      <c r="M60" s="198"/>
      <c r="N60" s="198"/>
      <c r="O60" s="199"/>
      <c r="P60" s="106" t="b">
        <f t="shared" si="0"/>
        <v>0</v>
      </c>
    </row>
    <row r="61" spans="1:16" ht="19.5" hidden="1" thickBot="1" x14ac:dyDescent="0.35">
      <c r="A61" s="140">
        <v>2</v>
      </c>
      <c r="B61" s="36" t="s">
        <v>83</v>
      </c>
      <c r="C61" s="8">
        <v>14</v>
      </c>
      <c r="D61" s="125" t="s">
        <v>70</v>
      </c>
      <c r="E61" s="11"/>
      <c r="F61" s="122"/>
      <c r="G61" s="143" t="s">
        <v>53</v>
      </c>
      <c r="H61" s="122"/>
      <c r="I61" s="123"/>
      <c r="J61" s="197"/>
      <c r="K61" s="197"/>
      <c r="L61" s="197"/>
      <c r="M61" s="198"/>
      <c r="N61" s="198"/>
      <c r="O61" s="199"/>
      <c r="P61" s="106" t="b">
        <f t="shared" si="0"/>
        <v>0</v>
      </c>
    </row>
    <row r="62" spans="1:16" ht="19.5" hidden="1" thickBot="1" x14ac:dyDescent="0.35">
      <c r="A62" s="140">
        <v>2</v>
      </c>
      <c r="B62" s="36" t="s">
        <v>83</v>
      </c>
      <c r="C62" s="8">
        <v>15</v>
      </c>
      <c r="D62" s="125" t="s">
        <v>71</v>
      </c>
      <c r="E62" s="11"/>
      <c r="F62" s="122"/>
      <c r="G62" s="143" t="s">
        <v>53</v>
      </c>
      <c r="H62" s="122"/>
      <c r="I62" s="123"/>
      <c r="J62" s="197"/>
      <c r="K62" s="197"/>
      <c r="L62" s="197"/>
      <c r="M62" s="198"/>
      <c r="N62" s="198"/>
      <c r="O62" s="199"/>
      <c r="P62" s="106" t="b">
        <f t="shared" si="0"/>
        <v>0</v>
      </c>
    </row>
    <row r="63" spans="1:16" ht="19.5" hidden="1" thickBot="1" x14ac:dyDescent="0.35">
      <c r="A63" s="140">
        <v>2</v>
      </c>
      <c r="B63" s="36" t="s">
        <v>83</v>
      </c>
      <c r="C63" s="8">
        <v>16</v>
      </c>
      <c r="D63" s="125" t="s">
        <v>72</v>
      </c>
      <c r="E63" s="11"/>
      <c r="F63" s="122"/>
      <c r="G63" s="143" t="s">
        <v>53</v>
      </c>
      <c r="H63" s="122"/>
      <c r="I63" s="123"/>
      <c r="J63" s="197"/>
      <c r="K63" s="197"/>
      <c r="L63" s="197"/>
      <c r="M63" s="198"/>
      <c r="N63" s="198"/>
      <c r="O63" s="199"/>
      <c r="P63" s="106" t="b">
        <f t="shared" si="0"/>
        <v>0</v>
      </c>
    </row>
    <row r="64" spans="1:16" ht="19.5" hidden="1" thickBot="1" x14ac:dyDescent="0.35">
      <c r="A64" s="140">
        <v>2</v>
      </c>
      <c r="B64" s="36" t="s">
        <v>83</v>
      </c>
      <c r="C64" s="8">
        <v>17</v>
      </c>
      <c r="D64" s="125" t="s">
        <v>73</v>
      </c>
      <c r="E64" s="11"/>
      <c r="F64" s="122"/>
      <c r="G64" s="143" t="s">
        <v>53</v>
      </c>
      <c r="H64" s="122"/>
      <c r="I64" s="123"/>
      <c r="J64" s="197"/>
      <c r="K64" s="197"/>
      <c r="L64" s="197"/>
      <c r="M64" s="198"/>
      <c r="N64" s="198"/>
      <c r="O64" s="199"/>
      <c r="P64" s="106" t="b">
        <f t="shared" si="0"/>
        <v>0</v>
      </c>
    </row>
    <row r="65" spans="1:16" ht="19.5" hidden="1" thickBot="1" x14ac:dyDescent="0.35">
      <c r="A65" s="140">
        <v>2</v>
      </c>
      <c r="B65" s="36" t="s">
        <v>83</v>
      </c>
      <c r="C65" s="8">
        <v>18</v>
      </c>
      <c r="D65" s="125" t="s">
        <v>74</v>
      </c>
      <c r="E65" s="11"/>
      <c r="F65" s="122"/>
      <c r="G65" s="143" t="s">
        <v>53</v>
      </c>
      <c r="H65" s="122"/>
      <c r="I65" s="123"/>
      <c r="J65" s="197"/>
      <c r="K65" s="197"/>
      <c r="L65" s="197"/>
      <c r="M65" s="198"/>
      <c r="N65" s="198"/>
      <c r="O65" s="199"/>
      <c r="P65" s="106" t="b">
        <f t="shared" si="0"/>
        <v>0</v>
      </c>
    </row>
    <row r="66" spans="1:16" ht="19.5" hidden="1" thickBot="1" x14ac:dyDescent="0.35">
      <c r="A66" s="140">
        <v>2</v>
      </c>
      <c r="B66" s="36" t="s">
        <v>83</v>
      </c>
      <c r="C66" s="8">
        <v>19</v>
      </c>
      <c r="D66" s="125" t="s">
        <v>75</v>
      </c>
      <c r="E66" s="11"/>
      <c r="F66" s="122"/>
      <c r="G66" s="143" t="s">
        <v>53</v>
      </c>
      <c r="H66" s="122"/>
      <c r="I66" s="123"/>
      <c r="J66" s="197"/>
      <c r="K66" s="197"/>
      <c r="L66" s="197"/>
      <c r="M66" s="198"/>
      <c r="N66" s="198"/>
      <c r="O66" s="199"/>
      <c r="P66" s="106" t="b">
        <f t="shared" si="0"/>
        <v>0</v>
      </c>
    </row>
    <row r="67" spans="1:16" ht="19.5" hidden="1" thickBot="1" x14ac:dyDescent="0.35">
      <c r="A67" s="140">
        <v>2</v>
      </c>
      <c r="B67" s="36" t="s">
        <v>83</v>
      </c>
      <c r="C67" s="8">
        <v>20</v>
      </c>
      <c r="D67" s="125" t="s">
        <v>76</v>
      </c>
      <c r="E67" s="11"/>
      <c r="F67" s="122"/>
      <c r="G67" s="143" t="s">
        <v>53</v>
      </c>
      <c r="H67" s="122"/>
      <c r="I67" s="123"/>
      <c r="J67" s="197"/>
      <c r="K67" s="197"/>
      <c r="L67" s="197"/>
      <c r="M67" s="198"/>
      <c r="N67" s="198"/>
      <c r="O67" s="199"/>
      <c r="P67" s="106" t="b">
        <f t="shared" si="0"/>
        <v>0</v>
      </c>
    </row>
    <row r="68" spans="1:16" ht="19.5" hidden="1" thickBot="1" x14ac:dyDescent="0.35">
      <c r="A68" s="140">
        <v>2</v>
      </c>
      <c r="B68" s="36" t="s">
        <v>83</v>
      </c>
      <c r="C68" s="8">
        <v>21</v>
      </c>
      <c r="D68" s="125" t="s">
        <v>77</v>
      </c>
      <c r="E68" s="11"/>
      <c r="F68" s="122"/>
      <c r="G68" s="143" t="s">
        <v>53</v>
      </c>
      <c r="H68" s="122"/>
      <c r="I68" s="123"/>
      <c r="J68" s="197"/>
      <c r="K68" s="197"/>
      <c r="L68" s="197"/>
      <c r="M68" s="198"/>
      <c r="N68" s="198"/>
      <c r="O68" s="199"/>
      <c r="P68" s="106" t="b">
        <f t="shared" si="0"/>
        <v>0</v>
      </c>
    </row>
    <row r="69" spans="1:16" ht="19.5" hidden="1" thickBot="1" x14ac:dyDescent="0.35">
      <c r="A69" s="140">
        <v>2</v>
      </c>
      <c r="B69" s="36" t="s">
        <v>83</v>
      </c>
      <c r="C69" s="8">
        <v>22</v>
      </c>
      <c r="D69" s="125" t="s">
        <v>78</v>
      </c>
      <c r="E69" s="11"/>
      <c r="F69" s="122"/>
      <c r="G69" s="143" t="s">
        <v>53</v>
      </c>
      <c r="H69" s="122"/>
      <c r="I69" s="123"/>
      <c r="J69" s="197"/>
      <c r="K69" s="197"/>
      <c r="L69" s="197"/>
      <c r="M69" s="198"/>
      <c r="N69" s="198"/>
      <c r="O69" s="199"/>
      <c r="P69" s="106" t="b">
        <f t="shared" ref="P69:P133" si="2">IF(COUNTA(J69:O69)=0,FALSE,TRUE)</f>
        <v>0</v>
      </c>
    </row>
    <row r="70" spans="1:16" ht="19.5" hidden="1" thickBot="1" x14ac:dyDescent="0.35">
      <c r="A70" s="140">
        <v>2</v>
      </c>
      <c r="B70" s="36" t="s">
        <v>83</v>
      </c>
      <c r="C70" s="8">
        <v>23</v>
      </c>
      <c r="D70" s="125" t="s">
        <v>84</v>
      </c>
      <c r="E70" s="11"/>
      <c r="F70" s="122"/>
      <c r="G70" s="143" t="s">
        <v>53</v>
      </c>
      <c r="H70" s="122"/>
      <c r="I70" s="123"/>
      <c r="J70" s="197"/>
      <c r="K70" s="197"/>
      <c r="L70" s="197"/>
      <c r="M70" s="198"/>
      <c r="N70" s="198"/>
      <c r="O70" s="199"/>
      <c r="P70" s="106" t="b">
        <f t="shared" si="2"/>
        <v>0</v>
      </c>
    </row>
    <row r="71" spans="1:16" ht="19.5" hidden="1" thickBot="1" x14ac:dyDescent="0.35">
      <c r="A71" s="140">
        <v>2</v>
      </c>
      <c r="B71" s="36" t="s">
        <v>83</v>
      </c>
      <c r="C71" s="8">
        <v>24</v>
      </c>
      <c r="D71" s="125" t="s">
        <v>43</v>
      </c>
      <c r="E71" s="11"/>
      <c r="F71" s="122"/>
      <c r="G71" s="143" t="s">
        <v>53</v>
      </c>
      <c r="H71" s="122"/>
      <c r="I71" s="123"/>
      <c r="J71" s="197"/>
      <c r="K71" s="197"/>
      <c r="L71" s="197"/>
      <c r="M71" s="198"/>
      <c r="N71" s="198"/>
      <c r="O71" s="199"/>
      <c r="P71" s="106" t="b">
        <f t="shared" si="2"/>
        <v>0</v>
      </c>
    </row>
    <row r="72" spans="1:16" ht="19.5" hidden="1" thickBot="1" x14ac:dyDescent="0.35">
      <c r="A72" s="140">
        <v>2</v>
      </c>
      <c r="B72" s="36" t="s">
        <v>83</v>
      </c>
      <c r="C72" s="8">
        <v>25</v>
      </c>
      <c r="D72" s="125" t="s">
        <v>79</v>
      </c>
      <c r="E72" s="11"/>
      <c r="F72" s="122"/>
      <c r="G72" s="143" t="s">
        <v>53</v>
      </c>
      <c r="H72" s="122"/>
      <c r="I72" s="123"/>
      <c r="J72" s="197"/>
      <c r="K72" s="197"/>
      <c r="L72" s="197"/>
      <c r="M72" s="198"/>
      <c r="N72" s="198"/>
      <c r="O72" s="199"/>
      <c r="P72" s="106" t="b">
        <f t="shared" si="2"/>
        <v>0</v>
      </c>
    </row>
    <row r="73" spans="1:16" ht="19.5" hidden="1" thickBot="1" x14ac:dyDescent="0.35">
      <c r="A73" s="140">
        <v>2</v>
      </c>
      <c r="B73" s="36" t="s">
        <v>83</v>
      </c>
      <c r="C73" s="8">
        <v>26</v>
      </c>
      <c r="D73" s="125" t="s">
        <v>80</v>
      </c>
      <c r="E73" s="11"/>
      <c r="F73" s="122"/>
      <c r="G73" s="143" t="s">
        <v>53</v>
      </c>
      <c r="H73" s="122"/>
      <c r="I73" s="123"/>
      <c r="J73" s="197"/>
      <c r="K73" s="197"/>
      <c r="L73" s="197"/>
      <c r="M73" s="198"/>
      <c r="N73" s="198"/>
      <c r="O73" s="199"/>
      <c r="P73" s="106" t="b">
        <f t="shared" si="2"/>
        <v>0</v>
      </c>
    </row>
    <row r="74" spans="1:16" ht="19.5" hidden="1" thickBot="1" x14ac:dyDescent="0.35">
      <c r="A74" s="140">
        <v>2</v>
      </c>
      <c r="B74" s="36" t="s">
        <v>83</v>
      </c>
      <c r="C74" s="8">
        <v>27</v>
      </c>
      <c r="D74" s="125" t="s">
        <v>81</v>
      </c>
      <c r="E74" s="11"/>
      <c r="F74" s="122"/>
      <c r="G74" s="143" t="s">
        <v>53</v>
      </c>
      <c r="H74" s="122"/>
      <c r="I74" s="123"/>
      <c r="J74" s="197"/>
      <c r="K74" s="197"/>
      <c r="L74" s="197"/>
      <c r="M74" s="198"/>
      <c r="N74" s="198"/>
      <c r="O74" s="199"/>
      <c r="P74" s="106" t="b">
        <f t="shared" si="2"/>
        <v>0</v>
      </c>
    </row>
    <row r="75" spans="1:16" ht="19.5" hidden="1" thickBot="1" x14ac:dyDescent="0.35">
      <c r="A75" s="145">
        <v>2</v>
      </c>
      <c r="B75" s="40" t="s">
        <v>83</v>
      </c>
      <c r="C75" s="8">
        <v>28</v>
      </c>
      <c r="D75" s="146" t="s">
        <v>82</v>
      </c>
      <c r="E75" s="12"/>
      <c r="F75" s="147"/>
      <c r="G75" s="143" t="s">
        <v>53</v>
      </c>
      <c r="H75" s="147"/>
      <c r="I75" s="148"/>
      <c r="J75" s="203"/>
      <c r="K75" s="203"/>
      <c r="L75" s="203"/>
      <c r="M75" s="204"/>
      <c r="N75" s="204"/>
      <c r="O75" s="205"/>
      <c r="P75" s="106" t="b">
        <f t="shared" si="2"/>
        <v>0</v>
      </c>
    </row>
    <row r="76" spans="1:16" ht="19.5" hidden="1" thickBot="1" x14ac:dyDescent="0.3">
      <c r="A76" s="137">
        <v>2</v>
      </c>
      <c r="B76" s="138" t="s">
        <v>83</v>
      </c>
      <c r="C76" s="15">
        <f>COUNTA(C48:C75)</f>
        <v>28</v>
      </c>
      <c r="D76" s="139" t="s">
        <v>1</v>
      </c>
      <c r="E76" s="139" t="s">
        <v>1374</v>
      </c>
      <c r="F76" s="15">
        <f>COUNTA(F48:F75)</f>
        <v>0</v>
      </c>
      <c r="G76" s="15">
        <f>COUNTA(G48:G75)</f>
        <v>28</v>
      </c>
      <c r="H76" s="304" t="s">
        <v>3</v>
      </c>
      <c r="I76" s="305"/>
      <c r="J76" s="107">
        <f t="shared" ref="J76:O76" si="3">COUNTA(J48:J75)</f>
        <v>0</v>
      </c>
      <c r="K76" s="107">
        <f t="shared" si="3"/>
        <v>0</v>
      </c>
      <c r="L76" s="107">
        <f t="shared" si="3"/>
        <v>0</v>
      </c>
      <c r="M76" s="107">
        <f t="shared" si="3"/>
        <v>0</v>
      </c>
      <c r="N76" s="107">
        <f t="shared" si="3"/>
        <v>0</v>
      </c>
      <c r="O76" s="108">
        <f t="shared" si="3"/>
        <v>0</v>
      </c>
      <c r="P76" s="108">
        <f>COUNTIF(P48:P75,TRUE)</f>
        <v>0</v>
      </c>
    </row>
    <row r="77" spans="1:16" x14ac:dyDescent="0.3">
      <c r="A77" s="119">
        <v>3</v>
      </c>
      <c r="B77" s="41" t="s">
        <v>107</v>
      </c>
      <c r="C77" s="149">
        <v>1</v>
      </c>
      <c r="D77" s="150" t="s">
        <v>85</v>
      </c>
      <c r="E77" s="42" t="s">
        <v>319</v>
      </c>
      <c r="F77" s="151" t="s">
        <v>52</v>
      </c>
      <c r="G77" s="152"/>
      <c r="H77" s="152" t="s">
        <v>343</v>
      </c>
      <c r="I77" s="153" t="s">
        <v>342</v>
      </c>
      <c r="J77" s="206"/>
      <c r="K77" s="206"/>
      <c r="L77" s="206"/>
      <c r="M77" s="207"/>
      <c r="N77" s="207"/>
      <c r="O77" s="208"/>
      <c r="P77" s="106" t="b">
        <f t="shared" si="2"/>
        <v>0</v>
      </c>
    </row>
    <row r="78" spans="1:16" x14ac:dyDescent="0.3">
      <c r="A78" s="124">
        <v>3</v>
      </c>
      <c r="B78" s="36" t="s">
        <v>107</v>
      </c>
      <c r="C78" s="8">
        <v>2</v>
      </c>
      <c r="D78" s="125" t="s">
        <v>86</v>
      </c>
      <c r="E78" s="11" t="s">
        <v>320</v>
      </c>
      <c r="F78" s="126" t="s">
        <v>52</v>
      </c>
      <c r="G78" s="122"/>
      <c r="H78" s="122" t="s">
        <v>344</v>
      </c>
      <c r="I78" s="123" t="s">
        <v>345</v>
      </c>
      <c r="J78" s="197"/>
      <c r="K78" s="197"/>
      <c r="L78" s="197"/>
      <c r="M78" s="198"/>
      <c r="N78" s="198"/>
      <c r="O78" s="199"/>
      <c r="P78" s="106" t="b">
        <f t="shared" si="2"/>
        <v>0</v>
      </c>
    </row>
    <row r="79" spans="1:16" x14ac:dyDescent="0.3">
      <c r="A79" s="124">
        <v>3</v>
      </c>
      <c r="B79" s="36" t="s">
        <v>107</v>
      </c>
      <c r="C79" s="8">
        <v>3</v>
      </c>
      <c r="D79" s="125" t="s">
        <v>87</v>
      </c>
      <c r="E79" s="11" t="s">
        <v>321</v>
      </c>
      <c r="F79" s="126" t="s">
        <v>52</v>
      </c>
      <c r="G79" s="122"/>
      <c r="H79" s="122" t="s">
        <v>346</v>
      </c>
      <c r="I79" s="123" t="s">
        <v>326</v>
      </c>
      <c r="J79" s="197"/>
      <c r="K79" s="197"/>
      <c r="L79" s="197"/>
      <c r="M79" s="198"/>
      <c r="N79" s="198"/>
      <c r="O79" s="199"/>
      <c r="P79" s="106" t="b">
        <f t="shared" si="2"/>
        <v>0</v>
      </c>
    </row>
    <row r="80" spans="1:16" x14ac:dyDescent="0.3">
      <c r="A80" s="124">
        <v>3</v>
      </c>
      <c r="B80" s="36" t="s">
        <v>107</v>
      </c>
      <c r="C80" s="8">
        <v>4</v>
      </c>
      <c r="D80" s="125" t="s">
        <v>88</v>
      </c>
      <c r="E80" s="11" t="s">
        <v>322</v>
      </c>
      <c r="F80" s="126" t="s">
        <v>52</v>
      </c>
      <c r="G80" s="122"/>
      <c r="H80" s="122" t="s">
        <v>344</v>
      </c>
      <c r="I80" s="123" t="s">
        <v>345</v>
      </c>
      <c r="J80" s="197" t="s">
        <v>1383</v>
      </c>
      <c r="K80" s="197"/>
      <c r="L80" s="197"/>
      <c r="M80" s="198"/>
      <c r="N80" s="198"/>
      <c r="O80" s="199"/>
      <c r="P80" s="106" t="b">
        <f t="shared" si="2"/>
        <v>1</v>
      </c>
    </row>
    <row r="81" spans="1:16" x14ac:dyDescent="0.3">
      <c r="A81" s="124">
        <v>3</v>
      </c>
      <c r="B81" s="36" t="s">
        <v>107</v>
      </c>
      <c r="C81" s="8">
        <v>5</v>
      </c>
      <c r="D81" s="125" t="s">
        <v>89</v>
      </c>
      <c r="E81" s="11" t="s">
        <v>323</v>
      </c>
      <c r="F81" s="126" t="s">
        <v>52</v>
      </c>
      <c r="G81" s="122"/>
      <c r="H81" s="122" t="s">
        <v>344</v>
      </c>
      <c r="I81" s="123" t="s">
        <v>345</v>
      </c>
      <c r="J81" s="197" t="s">
        <v>1383</v>
      </c>
      <c r="K81" s="197"/>
      <c r="L81" s="197"/>
      <c r="M81" s="198"/>
      <c r="N81" s="198"/>
      <c r="O81" s="199"/>
      <c r="P81" s="106" t="b">
        <f t="shared" si="2"/>
        <v>1</v>
      </c>
    </row>
    <row r="82" spans="1:16" x14ac:dyDescent="0.3">
      <c r="A82" s="124">
        <v>3</v>
      </c>
      <c r="B82" s="36" t="s">
        <v>107</v>
      </c>
      <c r="C82" s="8">
        <v>6</v>
      </c>
      <c r="D82" s="125" t="s">
        <v>90</v>
      </c>
      <c r="E82" s="11" t="s">
        <v>324</v>
      </c>
      <c r="F82" s="126" t="s">
        <v>52</v>
      </c>
      <c r="G82" s="122"/>
      <c r="H82" s="122" t="s">
        <v>346</v>
      </c>
      <c r="I82" s="123" t="s">
        <v>326</v>
      </c>
      <c r="J82" s="197" t="s">
        <v>1383</v>
      </c>
      <c r="K82" s="197"/>
      <c r="L82" s="197"/>
      <c r="M82" s="198"/>
      <c r="N82" s="198"/>
      <c r="O82" s="199"/>
      <c r="P82" s="106" t="b">
        <f t="shared" si="2"/>
        <v>1</v>
      </c>
    </row>
    <row r="83" spans="1:16" x14ac:dyDescent="0.3">
      <c r="A83" s="124">
        <v>3</v>
      </c>
      <c r="B83" s="36" t="s">
        <v>107</v>
      </c>
      <c r="C83" s="8">
        <v>7</v>
      </c>
      <c r="D83" s="125" t="s">
        <v>91</v>
      </c>
      <c r="E83" s="11" t="s">
        <v>316</v>
      </c>
      <c r="F83" s="126"/>
      <c r="G83" s="128" t="s">
        <v>53</v>
      </c>
      <c r="H83" s="154" t="s">
        <v>318</v>
      </c>
      <c r="I83" s="155" t="s">
        <v>317</v>
      </c>
      <c r="J83" s="197"/>
      <c r="K83" s="197"/>
      <c r="L83" s="197"/>
      <c r="M83" s="198"/>
      <c r="N83" s="198"/>
      <c r="O83" s="199"/>
      <c r="P83" s="106" t="b">
        <f t="shared" si="2"/>
        <v>0</v>
      </c>
    </row>
    <row r="84" spans="1:16" x14ac:dyDescent="0.3">
      <c r="A84" s="124">
        <v>3</v>
      </c>
      <c r="B84" s="36" t="s">
        <v>107</v>
      </c>
      <c r="C84" s="8">
        <v>8</v>
      </c>
      <c r="D84" s="125" t="s">
        <v>92</v>
      </c>
      <c r="E84" s="11" t="s">
        <v>325</v>
      </c>
      <c r="F84" s="126" t="s">
        <v>52</v>
      </c>
      <c r="G84" s="122"/>
      <c r="H84" s="122" t="s">
        <v>348</v>
      </c>
      <c r="I84" s="123" t="s">
        <v>347</v>
      </c>
      <c r="J84" s="197" t="s">
        <v>1383</v>
      </c>
      <c r="K84" s="197"/>
      <c r="L84" s="197"/>
      <c r="M84" s="198"/>
      <c r="N84" s="198" t="s">
        <v>1383</v>
      </c>
      <c r="O84" s="199"/>
      <c r="P84" s="106" t="b">
        <f t="shared" si="2"/>
        <v>1</v>
      </c>
    </row>
    <row r="85" spans="1:16" x14ac:dyDescent="0.3">
      <c r="A85" s="124">
        <v>3</v>
      </c>
      <c r="B85" s="36" t="s">
        <v>107</v>
      </c>
      <c r="C85" s="8">
        <v>9</v>
      </c>
      <c r="D85" s="125" t="s">
        <v>93</v>
      </c>
      <c r="E85" s="11" t="s">
        <v>326</v>
      </c>
      <c r="F85" s="126" t="s">
        <v>52</v>
      </c>
      <c r="G85" s="122"/>
      <c r="H85" s="122" t="s">
        <v>344</v>
      </c>
      <c r="I85" s="123" t="s">
        <v>345</v>
      </c>
      <c r="J85" s="197" t="s">
        <v>1383</v>
      </c>
      <c r="K85" s="197"/>
      <c r="L85" s="197"/>
      <c r="M85" s="198"/>
      <c r="N85" s="198" t="s">
        <v>1383</v>
      </c>
      <c r="O85" s="199"/>
      <c r="P85" s="106" t="b">
        <f t="shared" si="2"/>
        <v>1</v>
      </c>
    </row>
    <row r="86" spans="1:16" x14ac:dyDescent="0.3">
      <c r="A86" s="124">
        <v>3</v>
      </c>
      <c r="B86" s="36" t="s">
        <v>107</v>
      </c>
      <c r="C86" s="8">
        <v>10</v>
      </c>
      <c r="D86" s="125" t="s">
        <v>94</v>
      </c>
      <c r="E86" s="11" t="s">
        <v>327</v>
      </c>
      <c r="F86" s="126" t="s">
        <v>52</v>
      </c>
      <c r="G86" s="122"/>
      <c r="H86" s="122" t="s">
        <v>349</v>
      </c>
      <c r="I86" s="123" t="s">
        <v>328</v>
      </c>
      <c r="J86" s="197"/>
      <c r="K86" s="197"/>
      <c r="L86" s="197"/>
      <c r="M86" s="198"/>
      <c r="N86" s="198"/>
      <c r="O86" s="199"/>
      <c r="P86" s="106" t="b">
        <f t="shared" si="2"/>
        <v>0</v>
      </c>
    </row>
    <row r="87" spans="1:16" x14ac:dyDescent="0.3">
      <c r="A87" s="124">
        <v>3</v>
      </c>
      <c r="B87" s="36" t="s">
        <v>107</v>
      </c>
      <c r="C87" s="8">
        <v>11</v>
      </c>
      <c r="D87" s="125" t="s">
        <v>34</v>
      </c>
      <c r="E87" s="11" t="s">
        <v>328</v>
      </c>
      <c r="F87" s="126" t="s">
        <v>52</v>
      </c>
      <c r="G87" s="122"/>
      <c r="H87" s="122" t="s">
        <v>344</v>
      </c>
      <c r="I87" s="123" t="s">
        <v>345</v>
      </c>
      <c r="J87" s="197" t="s">
        <v>1383</v>
      </c>
      <c r="K87" s="197"/>
      <c r="L87" s="198" t="s">
        <v>1383</v>
      </c>
      <c r="M87" s="198"/>
      <c r="N87" s="198" t="s">
        <v>1383</v>
      </c>
      <c r="O87" s="199"/>
      <c r="P87" s="106" t="b">
        <f t="shared" si="2"/>
        <v>1</v>
      </c>
    </row>
    <row r="88" spans="1:16" x14ac:dyDescent="0.3">
      <c r="A88" s="124">
        <v>3</v>
      </c>
      <c r="B88" s="36" t="s">
        <v>107</v>
      </c>
      <c r="C88" s="8">
        <v>12</v>
      </c>
      <c r="D88" s="125" t="s">
        <v>95</v>
      </c>
      <c r="E88" s="11" t="s">
        <v>329</v>
      </c>
      <c r="F88" s="126" t="s">
        <v>52</v>
      </c>
      <c r="G88" s="128"/>
      <c r="H88" s="122" t="s">
        <v>1375</v>
      </c>
      <c r="I88" s="123" t="s">
        <v>740</v>
      </c>
      <c r="J88" s="197" t="s">
        <v>1383</v>
      </c>
      <c r="K88" s="197"/>
      <c r="L88" s="197"/>
      <c r="M88" s="198"/>
      <c r="N88" s="198"/>
      <c r="O88" s="199"/>
      <c r="P88" s="106" t="b">
        <f t="shared" si="2"/>
        <v>1</v>
      </c>
    </row>
    <row r="89" spans="1:16" x14ac:dyDescent="0.3">
      <c r="A89" s="124">
        <v>3</v>
      </c>
      <c r="B89" s="36" t="s">
        <v>107</v>
      </c>
      <c r="C89" s="8">
        <v>13</v>
      </c>
      <c r="D89" s="125" t="s">
        <v>96</v>
      </c>
      <c r="E89" s="11" t="s">
        <v>330</v>
      </c>
      <c r="F89" s="126" t="s">
        <v>52</v>
      </c>
      <c r="G89" s="122"/>
      <c r="H89" s="122" t="s">
        <v>343</v>
      </c>
      <c r="I89" s="123" t="s">
        <v>342</v>
      </c>
      <c r="J89" s="197"/>
      <c r="K89" s="197"/>
      <c r="L89" s="197"/>
      <c r="M89" s="198"/>
      <c r="N89" s="198"/>
      <c r="O89" s="199"/>
      <c r="P89" s="106" t="b">
        <f t="shared" si="2"/>
        <v>0</v>
      </c>
    </row>
    <row r="90" spans="1:16" x14ac:dyDescent="0.3">
      <c r="A90" s="124">
        <v>3</v>
      </c>
      <c r="B90" s="36" t="s">
        <v>107</v>
      </c>
      <c r="C90" s="8">
        <v>14</v>
      </c>
      <c r="D90" s="125" t="s">
        <v>97</v>
      </c>
      <c r="E90" s="11" t="s">
        <v>331</v>
      </c>
      <c r="F90" s="126" t="s">
        <v>52</v>
      </c>
      <c r="G90" s="122"/>
      <c r="H90" s="122" t="s">
        <v>343</v>
      </c>
      <c r="I90" s="123" t="s">
        <v>342</v>
      </c>
      <c r="J90" s="197"/>
      <c r="K90" s="197"/>
      <c r="L90" s="197"/>
      <c r="M90" s="198"/>
      <c r="N90" s="198"/>
      <c r="O90" s="199"/>
      <c r="P90" s="106" t="b">
        <f t="shared" si="2"/>
        <v>0</v>
      </c>
    </row>
    <row r="91" spans="1:16" x14ac:dyDescent="0.3">
      <c r="A91" s="124">
        <v>3</v>
      </c>
      <c r="B91" s="36" t="s">
        <v>107</v>
      </c>
      <c r="C91" s="8">
        <v>15</v>
      </c>
      <c r="D91" s="17" t="s">
        <v>43</v>
      </c>
      <c r="E91" s="38" t="s">
        <v>332</v>
      </c>
      <c r="F91" s="126" t="s">
        <v>52</v>
      </c>
      <c r="G91" s="122"/>
      <c r="H91" s="122" t="s">
        <v>346</v>
      </c>
      <c r="I91" s="123" t="s">
        <v>326</v>
      </c>
      <c r="J91" s="197" t="s">
        <v>1383</v>
      </c>
      <c r="K91" s="197"/>
      <c r="L91" s="197"/>
      <c r="M91" s="198"/>
      <c r="N91" s="198"/>
      <c r="O91" s="199"/>
      <c r="P91" s="106" t="b">
        <f t="shared" si="2"/>
        <v>1</v>
      </c>
    </row>
    <row r="92" spans="1:16" x14ac:dyDescent="0.3">
      <c r="A92" s="124">
        <v>3</v>
      </c>
      <c r="B92" s="36" t="s">
        <v>107</v>
      </c>
      <c r="C92" s="8">
        <v>16</v>
      </c>
      <c r="D92" s="125" t="s">
        <v>98</v>
      </c>
      <c r="E92" s="11" t="s">
        <v>333</v>
      </c>
      <c r="F92" s="126" t="s">
        <v>52</v>
      </c>
      <c r="G92" s="122"/>
      <c r="H92" s="122" t="s">
        <v>318</v>
      </c>
      <c r="I92" s="123" t="s">
        <v>317</v>
      </c>
      <c r="J92" s="197" t="s">
        <v>1383</v>
      </c>
      <c r="K92" s="197"/>
      <c r="L92" s="197"/>
      <c r="M92" s="198"/>
      <c r="N92" s="198"/>
      <c r="O92" s="199"/>
      <c r="P92" s="106" t="b">
        <f t="shared" si="2"/>
        <v>1</v>
      </c>
    </row>
    <row r="93" spans="1:16" x14ac:dyDescent="0.3">
      <c r="A93" s="124">
        <v>3</v>
      </c>
      <c r="B93" s="36" t="s">
        <v>107</v>
      </c>
      <c r="C93" s="8">
        <v>17</v>
      </c>
      <c r="D93" s="125" t="s">
        <v>99</v>
      </c>
      <c r="E93" s="11" t="s">
        <v>334</v>
      </c>
      <c r="F93" s="126" t="s">
        <v>52</v>
      </c>
      <c r="G93" s="122"/>
      <c r="H93" s="122" t="s">
        <v>318</v>
      </c>
      <c r="I93" s="123" t="s">
        <v>317</v>
      </c>
      <c r="J93" s="197"/>
      <c r="K93" s="197"/>
      <c r="L93" s="197"/>
      <c r="M93" s="198"/>
      <c r="N93" s="198"/>
      <c r="O93" s="199"/>
      <c r="P93" s="106" t="b">
        <f t="shared" si="2"/>
        <v>0</v>
      </c>
    </row>
    <row r="94" spans="1:16" x14ac:dyDescent="0.3">
      <c r="A94" s="124">
        <v>3</v>
      </c>
      <c r="B94" s="36" t="s">
        <v>107</v>
      </c>
      <c r="C94" s="8">
        <v>18</v>
      </c>
      <c r="D94" s="125" t="s">
        <v>100</v>
      </c>
      <c r="E94" s="11" t="s">
        <v>335</v>
      </c>
      <c r="F94" s="126" t="s">
        <v>52</v>
      </c>
      <c r="G94" s="122"/>
      <c r="H94" s="122" t="s">
        <v>346</v>
      </c>
      <c r="I94" s="123" t="s">
        <v>326</v>
      </c>
      <c r="J94" s="197" t="s">
        <v>1383</v>
      </c>
      <c r="K94" s="197"/>
      <c r="L94" s="197"/>
      <c r="M94" s="198"/>
      <c r="N94" s="198"/>
      <c r="O94" s="199"/>
      <c r="P94" s="106" t="b">
        <f t="shared" si="2"/>
        <v>1</v>
      </c>
    </row>
    <row r="95" spans="1:16" x14ac:dyDescent="0.3">
      <c r="A95" s="124">
        <v>3</v>
      </c>
      <c r="B95" s="36" t="s">
        <v>107</v>
      </c>
      <c r="C95" s="8">
        <v>19</v>
      </c>
      <c r="D95" s="125" t="s">
        <v>101</v>
      </c>
      <c r="E95" s="11" t="s">
        <v>336</v>
      </c>
      <c r="F95" s="126" t="s">
        <v>52</v>
      </c>
      <c r="G95" s="122"/>
      <c r="H95" s="122" t="s">
        <v>318</v>
      </c>
      <c r="I95" s="123" t="s">
        <v>317</v>
      </c>
      <c r="J95" s="197"/>
      <c r="K95" s="197"/>
      <c r="L95" s="197"/>
      <c r="M95" s="198"/>
      <c r="N95" s="198"/>
      <c r="O95" s="199"/>
      <c r="P95" s="106" t="b">
        <f t="shared" si="2"/>
        <v>0</v>
      </c>
    </row>
    <row r="96" spans="1:16" x14ac:dyDescent="0.3">
      <c r="A96" s="124">
        <v>3</v>
      </c>
      <c r="B96" s="36" t="s">
        <v>107</v>
      </c>
      <c r="C96" s="8">
        <v>20</v>
      </c>
      <c r="D96" s="125" t="s">
        <v>102</v>
      </c>
      <c r="E96" s="11" t="s">
        <v>337</v>
      </c>
      <c r="F96" s="126" t="s">
        <v>52</v>
      </c>
      <c r="G96" s="122"/>
      <c r="H96" s="122" t="s">
        <v>343</v>
      </c>
      <c r="I96" s="123" t="s">
        <v>342</v>
      </c>
      <c r="J96" s="197" t="s">
        <v>1383</v>
      </c>
      <c r="K96" s="198" t="s">
        <v>1383</v>
      </c>
      <c r="L96" s="197"/>
      <c r="M96" s="198"/>
      <c r="N96" s="198"/>
      <c r="O96" s="199"/>
      <c r="P96" s="106" t="b">
        <f t="shared" si="2"/>
        <v>1</v>
      </c>
    </row>
    <row r="97" spans="1:16" x14ac:dyDescent="0.3">
      <c r="A97" s="124">
        <v>3</v>
      </c>
      <c r="B97" s="36" t="s">
        <v>107</v>
      </c>
      <c r="C97" s="8">
        <v>21</v>
      </c>
      <c r="D97" s="125" t="s">
        <v>103</v>
      </c>
      <c r="E97" s="11" t="s">
        <v>338</v>
      </c>
      <c r="F97" s="126" t="s">
        <v>52</v>
      </c>
      <c r="G97" s="122"/>
      <c r="H97" s="122" t="s">
        <v>348</v>
      </c>
      <c r="I97" s="123" t="s">
        <v>347</v>
      </c>
      <c r="J97" s="197" t="s">
        <v>1383</v>
      </c>
      <c r="K97" s="197"/>
      <c r="L97" s="197"/>
      <c r="M97" s="198"/>
      <c r="N97" s="198"/>
      <c r="O97" s="199"/>
      <c r="P97" s="106" t="b">
        <f t="shared" si="2"/>
        <v>1</v>
      </c>
    </row>
    <row r="98" spans="1:16" x14ac:dyDescent="0.3">
      <c r="A98" s="124">
        <v>3</v>
      </c>
      <c r="B98" s="36" t="s">
        <v>107</v>
      </c>
      <c r="C98" s="8">
        <v>22</v>
      </c>
      <c r="D98" s="125" t="s">
        <v>104</v>
      </c>
      <c r="E98" s="11" t="s">
        <v>339</v>
      </c>
      <c r="F98" s="126" t="s">
        <v>52</v>
      </c>
      <c r="G98" s="122"/>
      <c r="H98" s="122" t="s">
        <v>318</v>
      </c>
      <c r="I98" s="123" t="s">
        <v>317</v>
      </c>
      <c r="J98" s="197"/>
      <c r="K98" s="197"/>
      <c r="L98" s="197"/>
      <c r="M98" s="198"/>
      <c r="N98" s="198"/>
      <c r="O98" s="199"/>
      <c r="P98" s="106" t="b">
        <f t="shared" si="2"/>
        <v>0</v>
      </c>
    </row>
    <row r="99" spans="1:16" x14ac:dyDescent="0.3">
      <c r="A99" s="124">
        <v>3</v>
      </c>
      <c r="B99" s="36" t="s">
        <v>107</v>
      </c>
      <c r="C99" s="8">
        <v>23</v>
      </c>
      <c r="D99" s="125" t="s">
        <v>105</v>
      </c>
      <c r="E99" s="11" t="s">
        <v>340</v>
      </c>
      <c r="F99" s="126" t="s">
        <v>52</v>
      </c>
      <c r="G99" s="122"/>
      <c r="H99" s="122" t="s">
        <v>318</v>
      </c>
      <c r="I99" s="123" t="s">
        <v>317</v>
      </c>
      <c r="J99" s="197"/>
      <c r="K99" s="197"/>
      <c r="L99" s="197"/>
      <c r="M99" s="198"/>
      <c r="N99" s="198"/>
      <c r="O99" s="199"/>
      <c r="P99" s="106" t="b">
        <f t="shared" si="2"/>
        <v>0</v>
      </c>
    </row>
    <row r="100" spans="1:16" ht="19.5" thickBot="1" x14ac:dyDescent="0.35">
      <c r="A100" s="132">
        <v>3</v>
      </c>
      <c r="B100" s="43" t="s">
        <v>107</v>
      </c>
      <c r="C100" s="20">
        <v>24</v>
      </c>
      <c r="D100" s="156" t="s">
        <v>106</v>
      </c>
      <c r="E100" s="134" t="s">
        <v>341</v>
      </c>
      <c r="F100" s="157" t="s">
        <v>52</v>
      </c>
      <c r="G100" s="158"/>
      <c r="H100" s="158" t="s">
        <v>349</v>
      </c>
      <c r="I100" s="159" t="s">
        <v>328</v>
      </c>
      <c r="J100" s="200"/>
      <c r="K100" s="200"/>
      <c r="L100" s="200"/>
      <c r="M100" s="201"/>
      <c r="N100" s="201"/>
      <c r="O100" s="202"/>
      <c r="P100" s="106" t="b">
        <f t="shared" si="2"/>
        <v>0</v>
      </c>
    </row>
    <row r="101" spans="1:16" ht="19.5" hidden="1" thickBot="1" x14ac:dyDescent="0.3">
      <c r="A101" s="137">
        <v>3</v>
      </c>
      <c r="B101" s="138" t="s">
        <v>107</v>
      </c>
      <c r="C101" s="15">
        <f>COUNTA(C77:C100)</f>
        <v>24</v>
      </c>
      <c r="D101" s="139" t="s">
        <v>1</v>
      </c>
      <c r="E101" s="139" t="s">
        <v>1374</v>
      </c>
      <c r="F101" s="15">
        <f>COUNTA(F77:F100)</f>
        <v>23</v>
      </c>
      <c r="G101" s="15">
        <f>COUNTA(G77:G100)</f>
        <v>1</v>
      </c>
      <c r="H101" s="304" t="s">
        <v>3</v>
      </c>
      <c r="I101" s="305"/>
      <c r="J101" s="107">
        <f t="shared" ref="J101:O101" si="4">COUNTA(J77:J100)</f>
        <v>12</v>
      </c>
      <c r="K101" s="107">
        <f t="shared" si="4"/>
        <v>1</v>
      </c>
      <c r="L101" s="107">
        <f t="shared" si="4"/>
        <v>1</v>
      </c>
      <c r="M101" s="107">
        <f t="shared" si="4"/>
        <v>0</v>
      </c>
      <c r="N101" s="107">
        <f t="shared" si="4"/>
        <v>3</v>
      </c>
      <c r="O101" s="108">
        <f t="shared" si="4"/>
        <v>0</v>
      </c>
      <c r="P101" s="107">
        <f>COUNTIF(P77:P100,TRUE)</f>
        <v>12</v>
      </c>
    </row>
    <row r="102" spans="1:16" x14ac:dyDescent="0.3">
      <c r="A102" s="140">
        <v>4</v>
      </c>
      <c r="B102" s="160" t="s">
        <v>136</v>
      </c>
      <c r="C102" s="7">
        <v>1</v>
      </c>
      <c r="D102" s="120" t="s">
        <v>109</v>
      </c>
      <c r="E102" s="10" t="s">
        <v>351</v>
      </c>
      <c r="F102" s="121" t="s">
        <v>52</v>
      </c>
      <c r="G102" s="142"/>
      <c r="H102" s="142" t="s">
        <v>344</v>
      </c>
      <c r="I102" s="144" t="s">
        <v>345</v>
      </c>
      <c r="J102" s="194"/>
      <c r="K102" s="194"/>
      <c r="L102" s="194"/>
      <c r="M102" s="195"/>
      <c r="N102" s="195"/>
      <c r="O102" s="196"/>
      <c r="P102" s="106" t="b">
        <f t="shared" si="2"/>
        <v>0</v>
      </c>
    </row>
    <row r="103" spans="1:16" x14ac:dyDescent="0.3">
      <c r="A103" s="124">
        <v>4</v>
      </c>
      <c r="B103" s="36" t="s">
        <v>136</v>
      </c>
      <c r="C103" s="4">
        <v>2</v>
      </c>
      <c r="D103" s="125" t="s">
        <v>110</v>
      </c>
      <c r="E103" s="11" t="s">
        <v>352</v>
      </c>
      <c r="F103" s="126" t="s">
        <v>52</v>
      </c>
      <c r="G103" s="122"/>
      <c r="H103" s="122" t="s">
        <v>344</v>
      </c>
      <c r="I103" s="123" t="s">
        <v>345</v>
      </c>
      <c r="J103" s="197" t="s">
        <v>1383</v>
      </c>
      <c r="K103" s="197" t="s">
        <v>1383</v>
      </c>
      <c r="L103" s="197"/>
      <c r="M103" s="198"/>
      <c r="N103" s="198"/>
      <c r="O103" s="199"/>
      <c r="P103" s="106" t="b">
        <f t="shared" si="2"/>
        <v>1</v>
      </c>
    </row>
    <row r="104" spans="1:16" x14ac:dyDescent="0.3">
      <c r="A104" s="124">
        <v>4</v>
      </c>
      <c r="B104" s="36" t="s">
        <v>136</v>
      </c>
      <c r="C104" s="4">
        <v>3</v>
      </c>
      <c r="D104" s="125" t="s">
        <v>111</v>
      </c>
      <c r="E104" s="11" t="s">
        <v>353</v>
      </c>
      <c r="F104" s="126" t="s">
        <v>52</v>
      </c>
      <c r="G104" s="122"/>
      <c r="H104" s="122" t="s">
        <v>343</v>
      </c>
      <c r="I104" s="123" t="s">
        <v>342</v>
      </c>
      <c r="J104" s="197" t="s">
        <v>1383</v>
      </c>
      <c r="K104" s="197"/>
      <c r="L104" s="197"/>
      <c r="M104" s="198"/>
      <c r="N104" s="198"/>
      <c r="O104" s="199"/>
      <c r="P104" s="106" t="b">
        <f t="shared" si="2"/>
        <v>1</v>
      </c>
    </row>
    <row r="105" spans="1:16" x14ac:dyDescent="0.3">
      <c r="A105" s="124">
        <v>4</v>
      </c>
      <c r="B105" s="36" t="s">
        <v>136</v>
      </c>
      <c r="C105" s="4">
        <v>4</v>
      </c>
      <c r="D105" s="125" t="s">
        <v>112</v>
      </c>
      <c r="E105" s="11" t="s">
        <v>368</v>
      </c>
      <c r="F105" s="126" t="s">
        <v>52</v>
      </c>
      <c r="G105" s="122"/>
      <c r="H105" s="122" t="s">
        <v>344</v>
      </c>
      <c r="I105" s="123" t="s">
        <v>345</v>
      </c>
      <c r="J105" s="197" t="s">
        <v>1383</v>
      </c>
      <c r="K105" s="197" t="s">
        <v>1383</v>
      </c>
      <c r="L105" s="197" t="s">
        <v>1383</v>
      </c>
      <c r="M105" s="198"/>
      <c r="N105" s="198"/>
      <c r="O105" s="199"/>
      <c r="P105" s="106" t="b">
        <f t="shared" si="2"/>
        <v>1</v>
      </c>
    </row>
    <row r="106" spans="1:16" x14ac:dyDescent="0.3">
      <c r="A106" s="124">
        <v>4</v>
      </c>
      <c r="B106" s="36" t="s">
        <v>136</v>
      </c>
      <c r="C106" s="4">
        <v>5</v>
      </c>
      <c r="D106" s="125" t="s">
        <v>113</v>
      </c>
      <c r="E106" s="11" t="s">
        <v>354</v>
      </c>
      <c r="F106" s="126" t="s">
        <v>52</v>
      </c>
      <c r="G106" s="122"/>
      <c r="H106" s="122" t="s">
        <v>343</v>
      </c>
      <c r="I106" s="123" t="s">
        <v>342</v>
      </c>
      <c r="J106" s="197" t="s">
        <v>1383</v>
      </c>
      <c r="K106" s="197"/>
      <c r="L106" s="197"/>
      <c r="M106" s="198"/>
      <c r="N106" s="198"/>
      <c r="O106" s="199"/>
      <c r="P106" s="106" t="b">
        <f t="shared" si="2"/>
        <v>1</v>
      </c>
    </row>
    <row r="107" spans="1:16" x14ac:dyDescent="0.3">
      <c r="A107" s="124">
        <v>4</v>
      </c>
      <c r="B107" s="36" t="s">
        <v>136</v>
      </c>
      <c r="C107" s="4">
        <v>6</v>
      </c>
      <c r="D107" s="125" t="s">
        <v>114</v>
      </c>
      <c r="E107" s="11" t="s">
        <v>355</v>
      </c>
      <c r="F107" s="126" t="s">
        <v>52</v>
      </c>
      <c r="G107" s="122"/>
      <c r="H107" s="122" t="s">
        <v>343</v>
      </c>
      <c r="I107" s="123" t="s">
        <v>342</v>
      </c>
      <c r="J107" s="197" t="s">
        <v>1383</v>
      </c>
      <c r="K107" s="197"/>
      <c r="L107" s="197"/>
      <c r="M107" s="198"/>
      <c r="N107" s="198"/>
      <c r="O107" s="199"/>
      <c r="P107" s="106" t="b">
        <f t="shared" si="2"/>
        <v>1</v>
      </c>
    </row>
    <row r="108" spans="1:16" x14ac:dyDescent="0.3">
      <c r="A108" s="124">
        <v>4</v>
      </c>
      <c r="B108" s="36" t="s">
        <v>136</v>
      </c>
      <c r="C108" s="4">
        <v>7</v>
      </c>
      <c r="D108" s="125" t="s">
        <v>115</v>
      </c>
      <c r="E108" s="11" t="s">
        <v>356</v>
      </c>
      <c r="F108" s="126" t="s">
        <v>52</v>
      </c>
      <c r="G108" s="122"/>
      <c r="H108" s="122" t="s">
        <v>343</v>
      </c>
      <c r="I108" s="123" t="s">
        <v>342</v>
      </c>
      <c r="J108" s="197"/>
      <c r="K108" s="197"/>
      <c r="L108" s="197"/>
      <c r="M108" s="198"/>
      <c r="N108" s="198"/>
      <c r="O108" s="199"/>
      <c r="P108" s="106" t="b">
        <f t="shared" si="2"/>
        <v>0</v>
      </c>
    </row>
    <row r="109" spans="1:16" x14ac:dyDescent="0.3">
      <c r="A109" s="124">
        <v>4</v>
      </c>
      <c r="B109" s="36" t="s">
        <v>136</v>
      </c>
      <c r="C109" s="4">
        <v>8</v>
      </c>
      <c r="D109" s="125" t="s">
        <v>135</v>
      </c>
      <c r="E109" s="11" t="s">
        <v>357</v>
      </c>
      <c r="F109" s="126" t="s">
        <v>52</v>
      </c>
      <c r="G109" s="122"/>
      <c r="H109" s="122" t="s">
        <v>343</v>
      </c>
      <c r="I109" s="123" t="s">
        <v>342</v>
      </c>
      <c r="J109" s="197" t="s">
        <v>1383</v>
      </c>
      <c r="K109" s="197"/>
      <c r="L109" s="197" t="s">
        <v>1383</v>
      </c>
      <c r="M109" s="198"/>
      <c r="N109" s="198"/>
      <c r="O109" s="199"/>
      <c r="P109" s="106" t="b">
        <f t="shared" si="2"/>
        <v>1</v>
      </c>
    </row>
    <row r="110" spans="1:16" x14ac:dyDescent="0.3">
      <c r="A110" s="124">
        <v>4</v>
      </c>
      <c r="B110" s="36" t="s">
        <v>136</v>
      </c>
      <c r="C110" s="4">
        <v>9</v>
      </c>
      <c r="D110" s="125" t="s">
        <v>116</v>
      </c>
      <c r="E110" s="11" t="s">
        <v>358</v>
      </c>
      <c r="F110" s="126" t="s">
        <v>52</v>
      </c>
      <c r="G110" s="122"/>
      <c r="H110" s="122" t="s">
        <v>343</v>
      </c>
      <c r="I110" s="123" t="s">
        <v>342</v>
      </c>
      <c r="J110" s="197"/>
      <c r="K110" s="197"/>
      <c r="L110" s="197"/>
      <c r="M110" s="198"/>
      <c r="N110" s="198"/>
      <c r="O110" s="199"/>
      <c r="P110" s="106" t="b">
        <f t="shared" si="2"/>
        <v>0</v>
      </c>
    </row>
    <row r="111" spans="1:16" x14ac:dyDescent="0.3">
      <c r="A111" s="124">
        <v>4</v>
      </c>
      <c r="B111" s="36" t="s">
        <v>136</v>
      </c>
      <c r="C111" s="4">
        <v>10</v>
      </c>
      <c r="D111" s="125" t="s">
        <v>117</v>
      </c>
      <c r="E111" s="11" t="s">
        <v>359</v>
      </c>
      <c r="F111" s="126" t="s">
        <v>52</v>
      </c>
      <c r="G111" s="122"/>
      <c r="H111" s="122" t="s">
        <v>343</v>
      </c>
      <c r="I111" s="123" t="s">
        <v>342</v>
      </c>
      <c r="J111" s="197" t="s">
        <v>1383</v>
      </c>
      <c r="K111" s="197" t="s">
        <v>1383</v>
      </c>
      <c r="L111" s="197"/>
      <c r="M111" s="198"/>
      <c r="N111" s="198"/>
      <c r="O111" s="199"/>
      <c r="P111" s="106" t="b">
        <f t="shared" si="2"/>
        <v>1</v>
      </c>
    </row>
    <row r="112" spans="1:16" x14ac:dyDescent="0.3">
      <c r="A112" s="124">
        <v>4</v>
      </c>
      <c r="B112" s="36" t="s">
        <v>136</v>
      </c>
      <c r="C112" s="4">
        <v>11</v>
      </c>
      <c r="D112" s="125" t="s">
        <v>118</v>
      </c>
      <c r="E112" s="11" t="s">
        <v>360</v>
      </c>
      <c r="F112" s="126" t="s">
        <v>52</v>
      </c>
      <c r="G112" s="122"/>
      <c r="H112" s="122" t="s">
        <v>343</v>
      </c>
      <c r="I112" s="123" t="s">
        <v>342</v>
      </c>
      <c r="J112" s="197" t="s">
        <v>1383</v>
      </c>
      <c r="K112" s="197"/>
      <c r="L112" s="197" t="s">
        <v>1383</v>
      </c>
      <c r="M112" s="198"/>
      <c r="N112" s="198" t="s">
        <v>1383</v>
      </c>
      <c r="O112" s="199"/>
      <c r="P112" s="106" t="b">
        <f t="shared" si="2"/>
        <v>1</v>
      </c>
    </row>
    <row r="113" spans="1:16" x14ac:dyDescent="0.3">
      <c r="A113" s="124">
        <v>4</v>
      </c>
      <c r="B113" s="36" t="s">
        <v>136</v>
      </c>
      <c r="C113" s="4">
        <v>12</v>
      </c>
      <c r="D113" s="125" t="s">
        <v>119</v>
      </c>
      <c r="E113" s="11" t="s">
        <v>361</v>
      </c>
      <c r="F113" s="126" t="s">
        <v>52</v>
      </c>
      <c r="G113" s="122"/>
      <c r="H113" s="122" t="s">
        <v>343</v>
      </c>
      <c r="I113" s="123" t="s">
        <v>342</v>
      </c>
      <c r="J113" s="197" t="s">
        <v>1383</v>
      </c>
      <c r="K113" s="197"/>
      <c r="L113" s="197"/>
      <c r="M113" s="198"/>
      <c r="N113" s="198"/>
      <c r="O113" s="199"/>
      <c r="P113" s="106" t="b">
        <f t="shared" si="2"/>
        <v>1</v>
      </c>
    </row>
    <row r="114" spans="1:16" x14ac:dyDescent="0.3">
      <c r="A114" s="124">
        <v>4</v>
      </c>
      <c r="B114" s="36" t="s">
        <v>136</v>
      </c>
      <c r="C114" s="4">
        <v>13</v>
      </c>
      <c r="D114" s="125" t="s">
        <v>120</v>
      </c>
      <c r="E114" s="11" t="s">
        <v>367</v>
      </c>
      <c r="F114" s="126" t="s">
        <v>52</v>
      </c>
      <c r="G114" s="122"/>
      <c r="H114" s="122" t="s">
        <v>344</v>
      </c>
      <c r="I114" s="123" t="s">
        <v>345</v>
      </c>
      <c r="J114" s="197" t="s">
        <v>1383</v>
      </c>
      <c r="K114" s="197" t="s">
        <v>1383</v>
      </c>
      <c r="L114" s="197"/>
      <c r="M114" s="198"/>
      <c r="N114" s="198"/>
      <c r="O114" s="199"/>
      <c r="P114" s="106" t="b">
        <f t="shared" si="2"/>
        <v>1</v>
      </c>
    </row>
    <row r="115" spans="1:16" x14ac:dyDescent="0.3">
      <c r="A115" s="124">
        <v>4</v>
      </c>
      <c r="B115" s="36" t="s">
        <v>136</v>
      </c>
      <c r="C115" s="4">
        <v>14</v>
      </c>
      <c r="D115" s="125" t="s">
        <v>121</v>
      </c>
      <c r="E115" s="11" t="s">
        <v>362</v>
      </c>
      <c r="F115" s="126" t="s">
        <v>52</v>
      </c>
      <c r="G115" s="122"/>
      <c r="H115" s="122" t="s">
        <v>344</v>
      </c>
      <c r="I115" s="123" t="s">
        <v>345</v>
      </c>
      <c r="J115" s="197"/>
      <c r="K115" s="197"/>
      <c r="L115" s="197"/>
      <c r="M115" s="198"/>
      <c r="N115" s="198"/>
      <c r="O115" s="199"/>
      <c r="P115" s="106" t="b">
        <f t="shared" si="2"/>
        <v>0</v>
      </c>
    </row>
    <row r="116" spans="1:16" x14ac:dyDescent="0.3">
      <c r="A116" s="124">
        <v>4</v>
      </c>
      <c r="B116" s="36" t="s">
        <v>136</v>
      </c>
      <c r="C116" s="4">
        <v>15</v>
      </c>
      <c r="D116" s="125" t="s">
        <v>122</v>
      </c>
      <c r="E116" s="11" t="s">
        <v>363</v>
      </c>
      <c r="F116" s="126" t="s">
        <v>52</v>
      </c>
      <c r="G116" s="122"/>
      <c r="H116" s="122" t="s">
        <v>349</v>
      </c>
      <c r="I116" s="123" t="s">
        <v>328</v>
      </c>
      <c r="J116" s="197" t="s">
        <v>1383</v>
      </c>
      <c r="K116" s="197"/>
      <c r="L116" s="197"/>
      <c r="M116" s="198"/>
      <c r="N116" s="198"/>
      <c r="O116" s="199"/>
      <c r="P116" s="106" t="b">
        <f t="shared" si="2"/>
        <v>1</v>
      </c>
    </row>
    <row r="117" spans="1:16" x14ac:dyDescent="0.3">
      <c r="A117" s="124">
        <v>4</v>
      </c>
      <c r="B117" s="36" t="s">
        <v>136</v>
      </c>
      <c r="C117" s="4">
        <v>16</v>
      </c>
      <c r="D117" s="125" t="s">
        <v>123</v>
      </c>
      <c r="E117" s="11" t="s">
        <v>364</v>
      </c>
      <c r="F117" s="126" t="s">
        <v>52</v>
      </c>
      <c r="G117" s="122"/>
      <c r="H117" s="122" t="s">
        <v>343</v>
      </c>
      <c r="I117" s="123" t="s">
        <v>342</v>
      </c>
      <c r="J117" s="197" t="s">
        <v>1383</v>
      </c>
      <c r="K117" s="197"/>
      <c r="L117" s="197"/>
      <c r="M117" s="198"/>
      <c r="N117" s="198"/>
      <c r="O117" s="199"/>
      <c r="P117" s="106" t="b">
        <f t="shared" si="2"/>
        <v>1</v>
      </c>
    </row>
    <row r="118" spans="1:16" x14ac:dyDescent="0.3">
      <c r="A118" s="124">
        <v>4</v>
      </c>
      <c r="B118" s="36" t="s">
        <v>136</v>
      </c>
      <c r="C118" s="4">
        <v>17</v>
      </c>
      <c r="D118" s="125" t="s">
        <v>124</v>
      </c>
      <c r="E118" s="11" t="s">
        <v>365</v>
      </c>
      <c r="F118" s="126" t="s">
        <v>52</v>
      </c>
      <c r="G118" s="122"/>
      <c r="H118" s="122" t="s">
        <v>343</v>
      </c>
      <c r="I118" s="123" t="s">
        <v>342</v>
      </c>
      <c r="J118" s="197"/>
      <c r="K118" s="197"/>
      <c r="L118" s="197"/>
      <c r="M118" s="198"/>
      <c r="N118" s="198"/>
      <c r="O118" s="199"/>
      <c r="P118" s="106" t="b">
        <f t="shared" si="2"/>
        <v>0</v>
      </c>
    </row>
    <row r="119" spans="1:16" x14ac:dyDescent="0.3">
      <c r="A119" s="124">
        <v>4</v>
      </c>
      <c r="B119" s="36" t="s">
        <v>136</v>
      </c>
      <c r="C119" s="4">
        <v>18</v>
      </c>
      <c r="D119" s="125" t="s">
        <v>125</v>
      </c>
      <c r="E119" s="11" t="s">
        <v>366</v>
      </c>
      <c r="F119" s="126" t="s">
        <v>52</v>
      </c>
      <c r="G119" s="122"/>
      <c r="H119" s="122" t="s">
        <v>343</v>
      </c>
      <c r="I119" s="123" t="s">
        <v>342</v>
      </c>
      <c r="J119" s="197" t="s">
        <v>1383</v>
      </c>
      <c r="K119" s="197"/>
      <c r="L119" s="197" t="s">
        <v>1383</v>
      </c>
      <c r="M119" s="198"/>
      <c r="N119" s="198"/>
      <c r="O119" s="199"/>
      <c r="P119" s="106" t="b">
        <f t="shared" si="2"/>
        <v>1</v>
      </c>
    </row>
    <row r="120" spans="1:16" x14ac:dyDescent="0.3">
      <c r="A120" s="124">
        <v>4</v>
      </c>
      <c r="B120" s="36" t="s">
        <v>136</v>
      </c>
      <c r="C120" s="4">
        <v>19</v>
      </c>
      <c r="D120" s="125" t="s">
        <v>126</v>
      </c>
      <c r="E120" s="11" t="s">
        <v>369</v>
      </c>
      <c r="F120" s="126" t="s">
        <v>52</v>
      </c>
      <c r="G120" s="122"/>
      <c r="H120" s="122" t="s">
        <v>343</v>
      </c>
      <c r="I120" s="123" t="s">
        <v>342</v>
      </c>
      <c r="J120" s="197"/>
      <c r="K120" s="197"/>
      <c r="L120" s="197"/>
      <c r="M120" s="198"/>
      <c r="N120" s="198"/>
      <c r="O120" s="199"/>
      <c r="P120" s="106" t="b">
        <f t="shared" si="2"/>
        <v>0</v>
      </c>
    </row>
    <row r="121" spans="1:16" x14ac:dyDescent="0.3">
      <c r="A121" s="124">
        <v>4</v>
      </c>
      <c r="B121" s="36" t="s">
        <v>136</v>
      </c>
      <c r="C121" s="4">
        <v>20</v>
      </c>
      <c r="D121" s="17" t="s">
        <v>43</v>
      </c>
      <c r="E121" s="38" t="s">
        <v>370</v>
      </c>
      <c r="F121" s="126" t="s">
        <v>52</v>
      </c>
      <c r="G121" s="122"/>
      <c r="H121" s="122" t="s">
        <v>343</v>
      </c>
      <c r="I121" s="123" t="s">
        <v>342</v>
      </c>
      <c r="J121" s="197" t="s">
        <v>1383</v>
      </c>
      <c r="K121" s="197"/>
      <c r="L121" s="197" t="s">
        <v>1383</v>
      </c>
      <c r="M121" s="198"/>
      <c r="N121" s="198"/>
      <c r="O121" s="199" t="s">
        <v>1383</v>
      </c>
      <c r="P121" s="106" t="b">
        <f t="shared" si="2"/>
        <v>1</v>
      </c>
    </row>
    <row r="122" spans="1:16" x14ac:dyDescent="0.3">
      <c r="A122" s="124">
        <v>4</v>
      </c>
      <c r="B122" s="36" t="s">
        <v>136</v>
      </c>
      <c r="C122" s="4">
        <v>21</v>
      </c>
      <c r="D122" s="125" t="s">
        <v>127</v>
      </c>
      <c r="E122" s="11" t="s">
        <v>371</v>
      </c>
      <c r="F122" s="126" t="s">
        <v>52</v>
      </c>
      <c r="G122" s="122"/>
      <c r="H122" s="122" t="s">
        <v>343</v>
      </c>
      <c r="I122" s="123" t="s">
        <v>342</v>
      </c>
      <c r="J122" s="197" t="s">
        <v>1383</v>
      </c>
      <c r="K122" s="197"/>
      <c r="L122" s="197" t="s">
        <v>1383</v>
      </c>
      <c r="M122" s="198"/>
      <c r="N122" s="198"/>
      <c r="O122" s="199"/>
      <c r="P122" s="106" t="b">
        <f t="shared" si="2"/>
        <v>1</v>
      </c>
    </row>
    <row r="123" spans="1:16" x14ac:dyDescent="0.3">
      <c r="A123" s="124">
        <v>4</v>
      </c>
      <c r="B123" s="36" t="s">
        <v>136</v>
      </c>
      <c r="C123" s="4">
        <v>22</v>
      </c>
      <c r="D123" s="125" t="s">
        <v>128</v>
      </c>
      <c r="E123" s="11" t="s">
        <v>372</v>
      </c>
      <c r="F123" s="126" t="s">
        <v>52</v>
      </c>
      <c r="G123" s="122"/>
      <c r="H123" s="122" t="s">
        <v>344</v>
      </c>
      <c r="I123" s="123" t="s">
        <v>345</v>
      </c>
      <c r="J123" s="197" t="s">
        <v>1383</v>
      </c>
      <c r="K123" s="197"/>
      <c r="L123" s="197"/>
      <c r="M123" s="198"/>
      <c r="N123" s="198"/>
      <c r="O123" s="199"/>
      <c r="P123" s="106" t="b">
        <f t="shared" si="2"/>
        <v>1</v>
      </c>
    </row>
    <row r="124" spans="1:16" x14ac:dyDescent="0.3">
      <c r="A124" s="124">
        <v>4</v>
      </c>
      <c r="B124" s="36" t="s">
        <v>136</v>
      </c>
      <c r="C124" s="4">
        <v>23</v>
      </c>
      <c r="D124" s="125" t="s">
        <v>129</v>
      </c>
      <c r="E124" s="11" t="s">
        <v>373</v>
      </c>
      <c r="F124" s="122"/>
      <c r="G124" s="128" t="s">
        <v>53</v>
      </c>
      <c r="H124" s="154" t="s">
        <v>343</v>
      </c>
      <c r="I124" s="155" t="s">
        <v>342</v>
      </c>
      <c r="J124" s="197"/>
      <c r="K124" s="197"/>
      <c r="L124" s="197"/>
      <c r="M124" s="198"/>
      <c r="N124" s="198"/>
      <c r="O124" s="199"/>
      <c r="P124" s="106" t="b">
        <f t="shared" si="2"/>
        <v>0</v>
      </c>
    </row>
    <row r="125" spans="1:16" x14ac:dyDescent="0.3">
      <c r="A125" s="124">
        <v>4</v>
      </c>
      <c r="B125" s="36" t="s">
        <v>136</v>
      </c>
      <c r="C125" s="4">
        <v>24</v>
      </c>
      <c r="D125" s="125" t="s">
        <v>84</v>
      </c>
      <c r="E125" s="11" t="s">
        <v>374</v>
      </c>
      <c r="F125" s="126" t="s">
        <v>52</v>
      </c>
      <c r="G125" s="122"/>
      <c r="H125" s="122" t="s">
        <v>344</v>
      </c>
      <c r="I125" s="123" t="s">
        <v>345</v>
      </c>
      <c r="J125" s="197"/>
      <c r="K125" s="197"/>
      <c r="L125" s="197"/>
      <c r="M125" s="198"/>
      <c r="N125" s="198"/>
      <c r="O125" s="199"/>
      <c r="P125" s="106" t="b">
        <f t="shared" si="2"/>
        <v>0</v>
      </c>
    </row>
    <row r="126" spans="1:16" x14ac:dyDescent="0.3">
      <c r="A126" s="124">
        <v>4</v>
      </c>
      <c r="B126" s="36" t="s">
        <v>136</v>
      </c>
      <c r="C126" s="4">
        <v>25</v>
      </c>
      <c r="D126" s="125" t="s">
        <v>376</v>
      </c>
      <c r="E126" s="11" t="s">
        <v>375</v>
      </c>
      <c r="F126" s="126" t="s">
        <v>52</v>
      </c>
      <c r="G126" s="122"/>
      <c r="H126" s="122" t="s">
        <v>343</v>
      </c>
      <c r="I126" s="123" t="s">
        <v>342</v>
      </c>
      <c r="J126" s="197"/>
      <c r="K126" s="197"/>
      <c r="L126" s="197"/>
      <c r="M126" s="198"/>
      <c r="N126" s="198"/>
      <c r="O126" s="199"/>
      <c r="P126" s="106" t="b">
        <f t="shared" si="2"/>
        <v>0</v>
      </c>
    </row>
    <row r="127" spans="1:16" x14ac:dyDescent="0.3">
      <c r="A127" s="124">
        <v>4</v>
      </c>
      <c r="B127" s="36" t="s">
        <v>136</v>
      </c>
      <c r="C127" s="4">
        <v>26</v>
      </c>
      <c r="D127" s="125" t="s">
        <v>130</v>
      </c>
      <c r="E127" s="11" t="s">
        <v>377</v>
      </c>
      <c r="F127" s="126" t="s">
        <v>52</v>
      </c>
      <c r="G127" s="122"/>
      <c r="H127" s="122" t="s">
        <v>344</v>
      </c>
      <c r="I127" s="123" t="s">
        <v>345</v>
      </c>
      <c r="J127" s="197"/>
      <c r="K127" s="197"/>
      <c r="L127" s="197"/>
      <c r="M127" s="198"/>
      <c r="N127" s="198"/>
      <c r="O127" s="199"/>
      <c r="P127" s="106" t="b">
        <f t="shared" si="2"/>
        <v>0</v>
      </c>
    </row>
    <row r="128" spans="1:16" x14ac:dyDescent="0.3">
      <c r="A128" s="124">
        <v>4</v>
      </c>
      <c r="B128" s="36" t="s">
        <v>136</v>
      </c>
      <c r="C128" s="4">
        <v>27</v>
      </c>
      <c r="D128" s="125" t="s">
        <v>131</v>
      </c>
      <c r="E128" s="11" t="s">
        <v>378</v>
      </c>
      <c r="F128" s="126" t="s">
        <v>52</v>
      </c>
      <c r="G128" s="122"/>
      <c r="H128" s="122" t="s">
        <v>343</v>
      </c>
      <c r="I128" s="123" t="s">
        <v>342</v>
      </c>
      <c r="J128" s="197"/>
      <c r="K128" s="197"/>
      <c r="L128" s="197"/>
      <c r="M128" s="198"/>
      <c r="N128" s="198"/>
      <c r="O128" s="199"/>
      <c r="P128" s="106" t="b">
        <f t="shared" si="2"/>
        <v>0</v>
      </c>
    </row>
    <row r="129" spans="1:16" x14ac:dyDescent="0.3">
      <c r="A129" s="124">
        <v>4</v>
      </c>
      <c r="B129" s="36" t="s">
        <v>136</v>
      </c>
      <c r="C129" s="4">
        <v>28</v>
      </c>
      <c r="D129" s="125" t="s">
        <v>132</v>
      </c>
      <c r="E129" s="11" t="s">
        <v>379</v>
      </c>
      <c r="F129" s="126" t="s">
        <v>52</v>
      </c>
      <c r="G129" s="122"/>
      <c r="H129" s="122" t="s">
        <v>344</v>
      </c>
      <c r="I129" s="123" t="s">
        <v>345</v>
      </c>
      <c r="J129" s="197" t="s">
        <v>1383</v>
      </c>
      <c r="K129" s="197"/>
      <c r="L129" s="197"/>
      <c r="M129" s="198"/>
      <c r="N129" s="198"/>
      <c r="O129" s="199"/>
      <c r="P129" s="106" t="b">
        <f t="shared" si="2"/>
        <v>1</v>
      </c>
    </row>
    <row r="130" spans="1:16" x14ac:dyDescent="0.3">
      <c r="A130" s="124">
        <v>4</v>
      </c>
      <c r="B130" s="36" t="s">
        <v>136</v>
      </c>
      <c r="C130" s="4">
        <v>29</v>
      </c>
      <c r="D130" s="125" t="s">
        <v>133</v>
      </c>
      <c r="E130" s="11" t="s">
        <v>380</v>
      </c>
      <c r="F130" s="122"/>
      <c r="G130" s="128" t="s">
        <v>53</v>
      </c>
      <c r="H130" s="154" t="s">
        <v>343</v>
      </c>
      <c r="I130" s="155" t="s">
        <v>342</v>
      </c>
      <c r="J130" s="197"/>
      <c r="K130" s="197"/>
      <c r="L130" s="197"/>
      <c r="M130" s="198"/>
      <c r="N130" s="198"/>
      <c r="O130" s="199"/>
      <c r="P130" s="106" t="b">
        <f t="shared" si="2"/>
        <v>0</v>
      </c>
    </row>
    <row r="131" spans="1:16" ht="19.5" thickBot="1" x14ac:dyDescent="0.35">
      <c r="A131" s="161">
        <v>4</v>
      </c>
      <c r="B131" s="40" t="s">
        <v>136</v>
      </c>
      <c r="C131" s="8">
        <v>30</v>
      </c>
      <c r="D131" s="146" t="s">
        <v>134</v>
      </c>
      <c r="E131" s="12" t="s">
        <v>381</v>
      </c>
      <c r="F131" s="162" t="s">
        <v>52</v>
      </c>
      <c r="G131" s="147"/>
      <c r="H131" s="147" t="s">
        <v>343</v>
      </c>
      <c r="I131" s="148" t="s">
        <v>342</v>
      </c>
      <c r="J131" s="197" t="s">
        <v>1383</v>
      </c>
      <c r="K131" s="203"/>
      <c r="L131" s="203"/>
      <c r="M131" s="204"/>
      <c r="N131" s="204"/>
      <c r="O131" s="205"/>
      <c r="P131" s="106" t="b">
        <f t="shared" si="2"/>
        <v>1</v>
      </c>
    </row>
    <row r="132" spans="1:16" ht="19.5" hidden="1" thickBot="1" x14ac:dyDescent="0.3">
      <c r="A132" s="137">
        <v>4</v>
      </c>
      <c r="B132" s="138" t="s">
        <v>136</v>
      </c>
      <c r="C132" s="15">
        <f>COUNTA(C102:C131)</f>
        <v>30</v>
      </c>
      <c r="D132" s="139" t="s">
        <v>1</v>
      </c>
      <c r="E132" s="139" t="s">
        <v>1374</v>
      </c>
      <c r="F132" s="15">
        <f>COUNTA(F102:F131)</f>
        <v>28</v>
      </c>
      <c r="G132" s="15">
        <f>COUNTA(G102:G131)</f>
        <v>2</v>
      </c>
      <c r="H132" s="304" t="s">
        <v>3</v>
      </c>
      <c r="I132" s="305"/>
      <c r="J132" s="107">
        <f t="shared" ref="J132:O132" si="5">COUNTA(J102:J131)</f>
        <v>18</v>
      </c>
      <c r="K132" s="107">
        <f t="shared" si="5"/>
        <v>4</v>
      </c>
      <c r="L132" s="107">
        <f t="shared" si="5"/>
        <v>6</v>
      </c>
      <c r="M132" s="107">
        <f t="shared" si="5"/>
        <v>0</v>
      </c>
      <c r="N132" s="107">
        <f t="shared" si="5"/>
        <v>1</v>
      </c>
      <c r="O132" s="108">
        <f t="shared" si="5"/>
        <v>1</v>
      </c>
      <c r="P132" s="108">
        <f>COUNTIF(P102:P131,TRUE)</f>
        <v>18</v>
      </c>
    </row>
    <row r="133" spans="1:16" x14ac:dyDescent="0.3">
      <c r="A133" s="119">
        <v>5</v>
      </c>
      <c r="B133" s="41" t="s">
        <v>168</v>
      </c>
      <c r="C133" s="44">
        <v>1</v>
      </c>
      <c r="D133" s="150" t="s">
        <v>12</v>
      </c>
      <c r="E133" s="153" t="s">
        <v>382</v>
      </c>
      <c r="F133" s="151" t="s">
        <v>52</v>
      </c>
      <c r="G133" s="152"/>
      <c r="H133" s="152" t="s">
        <v>413</v>
      </c>
      <c r="I133" s="153" t="s">
        <v>412</v>
      </c>
      <c r="J133" s="206" t="s">
        <v>1383</v>
      </c>
      <c r="K133" s="206"/>
      <c r="L133" s="206"/>
      <c r="M133" s="207"/>
      <c r="N133" s="207"/>
      <c r="O133" s="208" t="s">
        <v>1383</v>
      </c>
      <c r="P133" s="106" t="b">
        <f t="shared" si="2"/>
        <v>1</v>
      </c>
    </row>
    <row r="134" spans="1:16" x14ac:dyDescent="0.3">
      <c r="A134" s="124">
        <v>5</v>
      </c>
      <c r="B134" s="37" t="s">
        <v>168</v>
      </c>
      <c r="C134" s="38">
        <v>2</v>
      </c>
      <c r="D134" s="125" t="s">
        <v>142</v>
      </c>
      <c r="E134" s="6" t="s">
        <v>384</v>
      </c>
      <c r="F134" s="126" t="s">
        <v>52</v>
      </c>
      <c r="G134" s="122"/>
      <c r="H134" s="122" t="s">
        <v>415</v>
      </c>
      <c r="I134" s="123" t="s">
        <v>414</v>
      </c>
      <c r="J134" s="197"/>
      <c r="K134" s="197"/>
      <c r="L134" s="197"/>
      <c r="M134" s="198"/>
      <c r="N134" s="198"/>
      <c r="O134" s="199"/>
      <c r="P134" s="106" t="b">
        <f t="shared" ref="P134:P197" si="6">IF(COUNTA(J134:O134)=0,FALSE,TRUE)</f>
        <v>0</v>
      </c>
    </row>
    <row r="135" spans="1:16" x14ac:dyDescent="0.3">
      <c r="A135" s="124">
        <v>5</v>
      </c>
      <c r="B135" s="37" t="s">
        <v>168</v>
      </c>
      <c r="C135" s="38">
        <v>3</v>
      </c>
      <c r="D135" s="125" t="s">
        <v>140</v>
      </c>
      <c r="E135" s="123" t="s">
        <v>385</v>
      </c>
      <c r="F135" s="126" t="s">
        <v>52</v>
      </c>
      <c r="G135" s="122"/>
      <c r="H135" s="122" t="s">
        <v>417</v>
      </c>
      <c r="I135" s="123" t="s">
        <v>416</v>
      </c>
      <c r="J135" s="197" t="s">
        <v>1383</v>
      </c>
      <c r="K135" s="197"/>
      <c r="L135" s="197"/>
      <c r="M135" s="198"/>
      <c r="N135" s="198"/>
      <c r="O135" s="199"/>
      <c r="P135" s="106" t="b">
        <f t="shared" si="6"/>
        <v>1</v>
      </c>
    </row>
    <row r="136" spans="1:16" x14ac:dyDescent="0.3">
      <c r="A136" s="124">
        <v>5</v>
      </c>
      <c r="B136" s="37" t="s">
        <v>168</v>
      </c>
      <c r="C136" s="38">
        <v>4</v>
      </c>
      <c r="D136" s="125" t="s">
        <v>141</v>
      </c>
      <c r="E136" s="123" t="s">
        <v>383</v>
      </c>
      <c r="F136" s="126" t="s">
        <v>52</v>
      </c>
      <c r="G136" s="122"/>
      <c r="H136" s="122" t="s">
        <v>413</v>
      </c>
      <c r="I136" s="123" t="s">
        <v>412</v>
      </c>
      <c r="J136" s="197"/>
      <c r="K136" s="197"/>
      <c r="L136" s="197"/>
      <c r="M136" s="198"/>
      <c r="N136" s="198"/>
      <c r="O136" s="199"/>
      <c r="P136" s="106" t="b">
        <f t="shared" si="6"/>
        <v>0</v>
      </c>
    </row>
    <row r="137" spans="1:16" x14ac:dyDescent="0.3">
      <c r="A137" s="124">
        <v>5</v>
      </c>
      <c r="B137" s="37" t="s">
        <v>168</v>
      </c>
      <c r="C137" s="38">
        <v>5</v>
      </c>
      <c r="D137" s="125" t="s">
        <v>143</v>
      </c>
      <c r="E137" s="123" t="s">
        <v>386</v>
      </c>
      <c r="F137" s="122"/>
      <c r="G137" s="128" t="s">
        <v>53</v>
      </c>
      <c r="H137" s="154" t="s">
        <v>413</v>
      </c>
      <c r="I137" s="155" t="s">
        <v>412</v>
      </c>
      <c r="J137" s="197"/>
      <c r="K137" s="197"/>
      <c r="L137" s="197"/>
      <c r="M137" s="198"/>
      <c r="N137" s="198"/>
      <c r="O137" s="199"/>
      <c r="P137" s="106" t="b">
        <f t="shared" si="6"/>
        <v>0</v>
      </c>
    </row>
    <row r="138" spans="1:16" x14ac:dyDescent="0.3">
      <c r="A138" s="124">
        <v>5</v>
      </c>
      <c r="B138" s="37" t="s">
        <v>168</v>
      </c>
      <c r="C138" s="38">
        <v>6</v>
      </c>
      <c r="D138" s="125" t="s">
        <v>144</v>
      </c>
      <c r="E138" s="123" t="s">
        <v>387</v>
      </c>
      <c r="F138" s="126" t="s">
        <v>52</v>
      </c>
      <c r="G138" s="122"/>
      <c r="H138" s="122" t="s">
        <v>413</v>
      </c>
      <c r="I138" s="123" t="s">
        <v>412</v>
      </c>
      <c r="J138" s="197" t="s">
        <v>1383</v>
      </c>
      <c r="K138" s="197"/>
      <c r="L138" s="197"/>
      <c r="M138" s="198"/>
      <c r="N138" s="198"/>
      <c r="O138" s="199"/>
      <c r="P138" s="106" t="b">
        <f t="shared" si="6"/>
        <v>1</v>
      </c>
    </row>
    <row r="139" spans="1:16" x14ac:dyDescent="0.3">
      <c r="A139" s="124">
        <v>5</v>
      </c>
      <c r="B139" s="37" t="s">
        <v>168</v>
      </c>
      <c r="C139" s="38">
        <v>7</v>
      </c>
      <c r="D139" s="125" t="s">
        <v>145</v>
      </c>
      <c r="E139" s="123" t="s">
        <v>388</v>
      </c>
      <c r="F139" s="126" t="s">
        <v>52</v>
      </c>
      <c r="G139" s="122"/>
      <c r="H139" s="122" t="s">
        <v>417</v>
      </c>
      <c r="I139" s="123" t="s">
        <v>416</v>
      </c>
      <c r="J139" s="197" t="s">
        <v>1383</v>
      </c>
      <c r="K139" s="197"/>
      <c r="L139" s="197"/>
      <c r="M139" s="198"/>
      <c r="N139" s="198"/>
      <c r="O139" s="199"/>
      <c r="P139" s="106" t="b">
        <f t="shared" si="6"/>
        <v>1</v>
      </c>
    </row>
    <row r="140" spans="1:16" x14ac:dyDescent="0.3">
      <c r="A140" s="124">
        <v>5</v>
      </c>
      <c r="B140" s="37" t="s">
        <v>168</v>
      </c>
      <c r="C140" s="38">
        <v>8</v>
      </c>
      <c r="D140" s="125" t="s">
        <v>146</v>
      </c>
      <c r="E140" s="123" t="s">
        <v>389</v>
      </c>
      <c r="F140" s="122"/>
      <c r="G140" s="128" t="s">
        <v>53</v>
      </c>
      <c r="H140" s="154" t="s">
        <v>413</v>
      </c>
      <c r="I140" s="155" t="s">
        <v>412</v>
      </c>
      <c r="J140" s="197"/>
      <c r="K140" s="197"/>
      <c r="L140" s="197"/>
      <c r="M140" s="198"/>
      <c r="N140" s="198"/>
      <c r="O140" s="199"/>
      <c r="P140" s="106" t="b">
        <f t="shared" si="6"/>
        <v>0</v>
      </c>
    </row>
    <row r="141" spans="1:16" x14ac:dyDescent="0.3">
      <c r="A141" s="124">
        <v>5</v>
      </c>
      <c r="B141" s="37" t="s">
        <v>168</v>
      </c>
      <c r="C141" s="38">
        <v>9</v>
      </c>
      <c r="D141" s="125" t="s">
        <v>147</v>
      </c>
      <c r="E141" s="123" t="s">
        <v>390</v>
      </c>
      <c r="F141" s="122"/>
      <c r="G141" s="128" t="s">
        <v>53</v>
      </c>
      <c r="H141" s="154" t="s">
        <v>413</v>
      </c>
      <c r="I141" s="155" t="s">
        <v>412</v>
      </c>
      <c r="J141" s="197"/>
      <c r="K141" s="197"/>
      <c r="L141" s="197"/>
      <c r="M141" s="198"/>
      <c r="N141" s="198"/>
      <c r="O141" s="199"/>
      <c r="P141" s="106" t="b">
        <f t="shared" si="6"/>
        <v>0</v>
      </c>
    </row>
    <row r="142" spans="1:16" x14ac:dyDescent="0.3">
      <c r="A142" s="124">
        <v>5</v>
      </c>
      <c r="B142" s="37" t="s">
        <v>168</v>
      </c>
      <c r="C142" s="38">
        <v>10</v>
      </c>
      <c r="D142" s="125" t="s">
        <v>148</v>
      </c>
      <c r="E142" s="123" t="s">
        <v>391</v>
      </c>
      <c r="F142" s="126" t="s">
        <v>52</v>
      </c>
      <c r="G142" s="122"/>
      <c r="H142" s="122" t="s">
        <v>413</v>
      </c>
      <c r="I142" s="123" t="s">
        <v>412</v>
      </c>
      <c r="J142" s="197" t="s">
        <v>1383</v>
      </c>
      <c r="K142" s="197" t="s">
        <v>1383</v>
      </c>
      <c r="L142" s="197"/>
      <c r="M142" s="198"/>
      <c r="N142" s="198"/>
      <c r="O142" s="199"/>
      <c r="P142" s="106" t="b">
        <f t="shared" si="6"/>
        <v>1</v>
      </c>
    </row>
    <row r="143" spans="1:16" x14ac:dyDescent="0.3">
      <c r="A143" s="124">
        <v>5</v>
      </c>
      <c r="B143" s="37" t="s">
        <v>168</v>
      </c>
      <c r="C143" s="38">
        <v>11</v>
      </c>
      <c r="D143" s="125" t="s">
        <v>149</v>
      </c>
      <c r="E143" s="123" t="s">
        <v>392</v>
      </c>
      <c r="F143" s="126" t="s">
        <v>52</v>
      </c>
      <c r="G143" s="122"/>
      <c r="H143" s="122" t="s">
        <v>413</v>
      </c>
      <c r="I143" s="123" t="s">
        <v>412</v>
      </c>
      <c r="J143" s="197" t="s">
        <v>1383</v>
      </c>
      <c r="K143" s="197" t="s">
        <v>1383</v>
      </c>
      <c r="L143" s="197"/>
      <c r="M143" s="198"/>
      <c r="N143" s="198"/>
      <c r="O143" s="199"/>
      <c r="P143" s="106" t="b">
        <f t="shared" si="6"/>
        <v>1</v>
      </c>
    </row>
    <row r="144" spans="1:16" x14ac:dyDescent="0.3">
      <c r="A144" s="124">
        <v>5</v>
      </c>
      <c r="B144" s="37" t="s">
        <v>168</v>
      </c>
      <c r="C144" s="38">
        <v>12</v>
      </c>
      <c r="D144" s="125" t="s">
        <v>121</v>
      </c>
      <c r="E144" s="123" t="s">
        <v>393</v>
      </c>
      <c r="F144" s="126" t="s">
        <v>52</v>
      </c>
      <c r="G144" s="122"/>
      <c r="H144" s="122" t="s">
        <v>413</v>
      </c>
      <c r="I144" s="123" t="s">
        <v>412</v>
      </c>
      <c r="J144" s="197" t="s">
        <v>1383</v>
      </c>
      <c r="K144" s="197"/>
      <c r="L144" s="197" t="s">
        <v>1383</v>
      </c>
      <c r="M144" s="198"/>
      <c r="N144" s="198"/>
      <c r="O144" s="199"/>
      <c r="P144" s="106" t="b">
        <f t="shared" si="6"/>
        <v>1</v>
      </c>
    </row>
    <row r="145" spans="1:16" x14ac:dyDescent="0.3">
      <c r="A145" s="124">
        <v>5</v>
      </c>
      <c r="B145" s="37" t="s">
        <v>168</v>
      </c>
      <c r="C145" s="38">
        <v>13</v>
      </c>
      <c r="D145" s="125" t="s">
        <v>150</v>
      </c>
      <c r="E145" s="123" t="s">
        <v>394</v>
      </c>
      <c r="F145" s="126" t="s">
        <v>52</v>
      </c>
      <c r="G145" s="122"/>
      <c r="H145" s="122" t="s">
        <v>413</v>
      </c>
      <c r="I145" s="123" t="s">
        <v>412</v>
      </c>
      <c r="J145" s="197" t="s">
        <v>1383</v>
      </c>
      <c r="K145" s="197"/>
      <c r="L145" s="197"/>
      <c r="M145" s="198"/>
      <c r="N145" s="198"/>
      <c r="O145" s="199"/>
      <c r="P145" s="106" t="b">
        <f t="shared" si="6"/>
        <v>1</v>
      </c>
    </row>
    <row r="146" spans="1:16" x14ac:dyDescent="0.3">
      <c r="A146" s="124">
        <v>5</v>
      </c>
      <c r="B146" s="37" t="s">
        <v>168</v>
      </c>
      <c r="C146" s="38">
        <v>14</v>
      </c>
      <c r="D146" s="125" t="s">
        <v>151</v>
      </c>
      <c r="E146" s="123" t="s">
        <v>395</v>
      </c>
      <c r="F146" s="126" t="s">
        <v>52</v>
      </c>
      <c r="G146" s="122"/>
      <c r="H146" s="122" t="s">
        <v>415</v>
      </c>
      <c r="I146" s="123" t="s">
        <v>414</v>
      </c>
      <c r="J146" s="197" t="s">
        <v>1383</v>
      </c>
      <c r="K146" s="197"/>
      <c r="L146" s="197"/>
      <c r="M146" s="198"/>
      <c r="N146" s="198"/>
      <c r="O146" s="199"/>
      <c r="P146" s="106" t="b">
        <f t="shared" si="6"/>
        <v>1</v>
      </c>
    </row>
    <row r="147" spans="1:16" x14ac:dyDescent="0.3">
      <c r="A147" s="124">
        <v>5</v>
      </c>
      <c r="B147" s="37" t="s">
        <v>168</v>
      </c>
      <c r="C147" s="38">
        <v>15</v>
      </c>
      <c r="D147" s="125" t="s">
        <v>152</v>
      </c>
      <c r="E147" s="123" t="s">
        <v>396</v>
      </c>
      <c r="F147" s="126" t="s">
        <v>52</v>
      </c>
      <c r="G147" s="122"/>
      <c r="H147" s="122" t="s">
        <v>413</v>
      </c>
      <c r="I147" s="123" t="s">
        <v>412</v>
      </c>
      <c r="J147" s="197" t="s">
        <v>1383</v>
      </c>
      <c r="K147" s="197" t="s">
        <v>1383</v>
      </c>
      <c r="L147" s="197"/>
      <c r="M147" s="198"/>
      <c r="N147" s="198"/>
      <c r="O147" s="199"/>
      <c r="P147" s="106" t="b">
        <f t="shared" si="6"/>
        <v>1</v>
      </c>
    </row>
    <row r="148" spans="1:16" x14ac:dyDescent="0.3">
      <c r="A148" s="124">
        <v>5</v>
      </c>
      <c r="B148" s="37" t="s">
        <v>168</v>
      </c>
      <c r="C148" s="38">
        <v>16</v>
      </c>
      <c r="D148" s="125" t="s">
        <v>153</v>
      </c>
      <c r="E148" s="123" t="s">
        <v>397</v>
      </c>
      <c r="F148" s="126" t="s">
        <v>52</v>
      </c>
      <c r="G148" s="122"/>
      <c r="H148" s="122" t="s">
        <v>413</v>
      </c>
      <c r="I148" s="123" t="s">
        <v>412</v>
      </c>
      <c r="J148" s="197" t="s">
        <v>1383</v>
      </c>
      <c r="K148" s="197"/>
      <c r="L148" s="197" t="s">
        <v>1383</v>
      </c>
      <c r="M148" s="198"/>
      <c r="N148" s="198"/>
      <c r="O148" s="199"/>
      <c r="P148" s="106" t="b">
        <f t="shared" si="6"/>
        <v>1</v>
      </c>
    </row>
    <row r="149" spans="1:16" x14ac:dyDescent="0.3">
      <c r="A149" s="124">
        <v>5</v>
      </c>
      <c r="B149" s="37" t="s">
        <v>168</v>
      </c>
      <c r="C149" s="38">
        <v>17</v>
      </c>
      <c r="D149" s="125" t="s">
        <v>154</v>
      </c>
      <c r="E149" s="123" t="s">
        <v>398</v>
      </c>
      <c r="F149" s="122"/>
      <c r="G149" s="128" t="s">
        <v>53</v>
      </c>
      <c r="H149" s="154" t="s">
        <v>413</v>
      </c>
      <c r="I149" s="155" t="s">
        <v>412</v>
      </c>
      <c r="J149" s="197"/>
      <c r="K149" s="197"/>
      <c r="L149" s="197"/>
      <c r="M149" s="198"/>
      <c r="N149" s="198"/>
      <c r="O149" s="199"/>
      <c r="P149" s="106" t="b">
        <f t="shared" si="6"/>
        <v>0</v>
      </c>
    </row>
    <row r="150" spans="1:16" x14ac:dyDescent="0.3">
      <c r="A150" s="124">
        <v>5</v>
      </c>
      <c r="B150" s="37" t="s">
        <v>168</v>
      </c>
      <c r="C150" s="38">
        <v>18</v>
      </c>
      <c r="D150" s="163" t="s">
        <v>155</v>
      </c>
      <c r="E150" s="123" t="s">
        <v>399</v>
      </c>
      <c r="F150" s="126" t="s">
        <v>52</v>
      </c>
      <c r="G150" s="122"/>
      <c r="H150" s="122" t="s">
        <v>413</v>
      </c>
      <c r="I150" s="123" t="s">
        <v>412</v>
      </c>
      <c r="J150" s="197" t="s">
        <v>1383</v>
      </c>
      <c r="K150" s="197" t="s">
        <v>1383</v>
      </c>
      <c r="L150" s="197"/>
      <c r="M150" s="198"/>
      <c r="N150" s="198"/>
      <c r="O150" s="199"/>
      <c r="P150" s="106" t="b">
        <f t="shared" si="6"/>
        <v>1</v>
      </c>
    </row>
    <row r="151" spans="1:16" x14ac:dyDescent="0.3">
      <c r="A151" s="124">
        <v>5</v>
      </c>
      <c r="B151" s="37" t="s">
        <v>168</v>
      </c>
      <c r="C151" s="38">
        <v>19</v>
      </c>
      <c r="D151" s="164" t="s">
        <v>166</v>
      </c>
      <c r="E151" s="123" t="s">
        <v>400</v>
      </c>
      <c r="F151" s="126" t="s">
        <v>52</v>
      </c>
      <c r="G151" s="122"/>
      <c r="H151" s="122" t="s">
        <v>413</v>
      </c>
      <c r="I151" s="123" t="s">
        <v>412</v>
      </c>
      <c r="J151" s="197" t="s">
        <v>1383</v>
      </c>
      <c r="K151" s="197"/>
      <c r="L151" s="197" t="s">
        <v>1383</v>
      </c>
      <c r="M151" s="198"/>
      <c r="N151" s="198"/>
      <c r="O151" s="199"/>
      <c r="P151" s="106" t="b">
        <f t="shared" si="6"/>
        <v>1</v>
      </c>
    </row>
    <row r="152" spans="1:16" x14ac:dyDescent="0.3">
      <c r="A152" s="124">
        <v>5</v>
      </c>
      <c r="B152" s="37" t="s">
        <v>168</v>
      </c>
      <c r="C152" s="38">
        <v>20</v>
      </c>
      <c r="D152" s="17" t="s">
        <v>167</v>
      </c>
      <c r="E152" s="123" t="s">
        <v>401</v>
      </c>
      <c r="F152" s="126" t="s">
        <v>52</v>
      </c>
      <c r="G152" s="122"/>
      <c r="H152" s="122" t="s">
        <v>413</v>
      </c>
      <c r="I152" s="123" t="s">
        <v>412</v>
      </c>
      <c r="J152" s="197" t="s">
        <v>1383</v>
      </c>
      <c r="K152" s="197"/>
      <c r="L152" s="197"/>
      <c r="M152" s="198" t="s">
        <v>1383</v>
      </c>
      <c r="N152" s="198"/>
      <c r="O152" s="199"/>
      <c r="P152" s="106" t="b">
        <f t="shared" si="6"/>
        <v>1</v>
      </c>
    </row>
    <row r="153" spans="1:16" x14ac:dyDescent="0.3">
      <c r="A153" s="124">
        <v>5</v>
      </c>
      <c r="B153" s="37" t="s">
        <v>168</v>
      </c>
      <c r="C153" s="38">
        <v>21</v>
      </c>
      <c r="D153" s="125" t="s">
        <v>156</v>
      </c>
      <c r="E153" s="123" t="s">
        <v>402</v>
      </c>
      <c r="F153" s="126" t="s">
        <v>52</v>
      </c>
      <c r="G153" s="122"/>
      <c r="H153" s="122" t="s">
        <v>413</v>
      </c>
      <c r="I153" s="123" t="s">
        <v>412</v>
      </c>
      <c r="J153" s="197"/>
      <c r="K153" s="197"/>
      <c r="L153" s="197"/>
      <c r="M153" s="198"/>
      <c r="N153" s="198"/>
      <c r="O153" s="199"/>
      <c r="P153" s="106" t="b">
        <f t="shared" si="6"/>
        <v>0</v>
      </c>
    </row>
    <row r="154" spans="1:16" x14ac:dyDescent="0.3">
      <c r="A154" s="124">
        <v>5</v>
      </c>
      <c r="B154" s="37" t="s">
        <v>168</v>
      </c>
      <c r="C154" s="38">
        <v>22</v>
      </c>
      <c r="D154" s="125" t="s">
        <v>157</v>
      </c>
      <c r="E154" s="123" t="s">
        <v>403</v>
      </c>
      <c r="F154" s="126" t="s">
        <v>52</v>
      </c>
      <c r="G154" s="122"/>
      <c r="H154" s="122" t="s">
        <v>413</v>
      </c>
      <c r="I154" s="123" t="s">
        <v>412</v>
      </c>
      <c r="J154" s="197" t="s">
        <v>1383</v>
      </c>
      <c r="K154" s="197"/>
      <c r="L154" s="197"/>
      <c r="M154" s="198"/>
      <c r="N154" s="198"/>
      <c r="O154" s="199"/>
      <c r="P154" s="106" t="b">
        <f t="shared" si="6"/>
        <v>1</v>
      </c>
    </row>
    <row r="155" spans="1:16" x14ac:dyDescent="0.3">
      <c r="A155" s="124">
        <v>5</v>
      </c>
      <c r="B155" s="37" t="s">
        <v>168</v>
      </c>
      <c r="C155" s="38">
        <v>23</v>
      </c>
      <c r="D155" s="125" t="s">
        <v>158</v>
      </c>
      <c r="E155" s="123" t="s">
        <v>404</v>
      </c>
      <c r="F155" s="126" t="s">
        <v>52</v>
      </c>
      <c r="G155" s="122"/>
      <c r="H155" s="122" t="s">
        <v>413</v>
      </c>
      <c r="I155" s="123" t="s">
        <v>412</v>
      </c>
      <c r="J155" s="197" t="s">
        <v>1383</v>
      </c>
      <c r="K155" s="197"/>
      <c r="L155" s="197"/>
      <c r="M155" s="198"/>
      <c r="N155" s="198"/>
      <c r="O155" s="199"/>
      <c r="P155" s="106" t="b">
        <f t="shared" si="6"/>
        <v>1</v>
      </c>
    </row>
    <row r="156" spans="1:16" x14ac:dyDescent="0.3">
      <c r="A156" s="124">
        <v>5</v>
      </c>
      <c r="B156" s="37" t="s">
        <v>168</v>
      </c>
      <c r="C156" s="38">
        <v>24</v>
      </c>
      <c r="D156" s="125" t="s">
        <v>159</v>
      </c>
      <c r="E156" s="123" t="s">
        <v>405</v>
      </c>
      <c r="F156" s="126" t="s">
        <v>52</v>
      </c>
      <c r="G156" s="122"/>
      <c r="H156" s="122" t="s">
        <v>413</v>
      </c>
      <c r="I156" s="123" t="s">
        <v>412</v>
      </c>
      <c r="J156" s="197"/>
      <c r="K156" s="197"/>
      <c r="L156" s="197"/>
      <c r="M156" s="198"/>
      <c r="N156" s="198"/>
      <c r="O156" s="199"/>
      <c r="P156" s="106" t="b">
        <f t="shared" si="6"/>
        <v>0</v>
      </c>
    </row>
    <row r="157" spans="1:16" x14ac:dyDescent="0.3">
      <c r="A157" s="124">
        <v>5</v>
      </c>
      <c r="B157" s="37" t="s">
        <v>168</v>
      </c>
      <c r="C157" s="38">
        <v>25</v>
      </c>
      <c r="D157" s="125" t="s">
        <v>160</v>
      </c>
      <c r="E157" s="123" t="s">
        <v>406</v>
      </c>
      <c r="F157" s="126" t="s">
        <v>52</v>
      </c>
      <c r="G157" s="122"/>
      <c r="H157" s="122" t="s">
        <v>413</v>
      </c>
      <c r="I157" s="123" t="s">
        <v>412</v>
      </c>
      <c r="J157" s="197" t="s">
        <v>1383</v>
      </c>
      <c r="K157" s="197"/>
      <c r="L157" s="197"/>
      <c r="M157" s="198"/>
      <c r="N157" s="198"/>
      <c r="O157" s="199"/>
      <c r="P157" s="106" t="b">
        <f t="shared" si="6"/>
        <v>1</v>
      </c>
    </row>
    <row r="158" spans="1:16" x14ac:dyDescent="0.3">
      <c r="A158" s="124">
        <v>5</v>
      </c>
      <c r="B158" s="37" t="s">
        <v>168</v>
      </c>
      <c r="C158" s="38">
        <v>26</v>
      </c>
      <c r="D158" s="125" t="s">
        <v>161</v>
      </c>
      <c r="E158" s="123" t="s">
        <v>407</v>
      </c>
      <c r="F158" s="126" t="s">
        <v>52</v>
      </c>
      <c r="G158" s="122"/>
      <c r="H158" s="122" t="s">
        <v>413</v>
      </c>
      <c r="I158" s="123" t="s">
        <v>412</v>
      </c>
      <c r="J158" s="197" t="s">
        <v>1383</v>
      </c>
      <c r="K158" s="197" t="s">
        <v>1383</v>
      </c>
      <c r="L158" s="197"/>
      <c r="M158" s="198"/>
      <c r="N158" s="198"/>
      <c r="O158" s="199" t="s">
        <v>1383</v>
      </c>
      <c r="P158" s="106" t="b">
        <f t="shared" si="6"/>
        <v>1</v>
      </c>
    </row>
    <row r="159" spans="1:16" x14ac:dyDescent="0.3">
      <c r="A159" s="124">
        <v>5</v>
      </c>
      <c r="B159" s="37" t="s">
        <v>168</v>
      </c>
      <c r="C159" s="38">
        <v>27</v>
      </c>
      <c r="D159" s="125" t="s">
        <v>162</v>
      </c>
      <c r="E159" s="123" t="s">
        <v>408</v>
      </c>
      <c r="F159" s="126" t="s">
        <v>52</v>
      </c>
      <c r="G159" s="122"/>
      <c r="H159" s="122" t="s">
        <v>413</v>
      </c>
      <c r="I159" s="123" t="s">
        <v>412</v>
      </c>
      <c r="J159" s="197" t="s">
        <v>1383</v>
      </c>
      <c r="K159" s="197"/>
      <c r="L159" s="197" t="s">
        <v>1383</v>
      </c>
      <c r="M159" s="198"/>
      <c r="N159" s="198"/>
      <c r="O159" s="199"/>
      <c r="P159" s="106" t="b">
        <f t="shared" si="6"/>
        <v>1</v>
      </c>
    </row>
    <row r="160" spans="1:16" x14ac:dyDescent="0.3">
      <c r="A160" s="124">
        <v>5</v>
      </c>
      <c r="B160" s="37" t="s">
        <v>168</v>
      </c>
      <c r="C160" s="38">
        <v>28</v>
      </c>
      <c r="D160" s="125" t="s">
        <v>163</v>
      </c>
      <c r="E160" s="123" t="s">
        <v>409</v>
      </c>
      <c r="F160" s="126" t="s">
        <v>52</v>
      </c>
      <c r="G160" s="122"/>
      <c r="H160" s="122" t="s">
        <v>413</v>
      </c>
      <c r="I160" s="123" t="s">
        <v>412</v>
      </c>
      <c r="J160" s="197" t="s">
        <v>1383</v>
      </c>
      <c r="K160" s="197"/>
      <c r="L160" s="197"/>
      <c r="M160" s="198"/>
      <c r="N160" s="198"/>
      <c r="O160" s="199"/>
      <c r="P160" s="106" t="b">
        <f t="shared" si="6"/>
        <v>1</v>
      </c>
    </row>
    <row r="161" spans="1:16" x14ac:dyDescent="0.3">
      <c r="A161" s="124">
        <v>5</v>
      </c>
      <c r="B161" s="37" t="s">
        <v>168</v>
      </c>
      <c r="C161" s="38">
        <v>29</v>
      </c>
      <c r="D161" s="125" t="s">
        <v>164</v>
      </c>
      <c r="E161" s="123" t="s">
        <v>410</v>
      </c>
      <c r="F161" s="126" t="s">
        <v>52</v>
      </c>
      <c r="G161" s="122"/>
      <c r="H161" s="122" t="s">
        <v>413</v>
      </c>
      <c r="I161" s="123" t="s">
        <v>412</v>
      </c>
      <c r="J161" s="197" t="s">
        <v>1383</v>
      </c>
      <c r="K161" s="197"/>
      <c r="L161" s="197"/>
      <c r="M161" s="198"/>
      <c r="N161" s="198"/>
      <c r="O161" s="199"/>
      <c r="P161" s="106" t="b">
        <f t="shared" si="6"/>
        <v>1</v>
      </c>
    </row>
    <row r="162" spans="1:16" ht="19.5" thickBot="1" x14ac:dyDescent="0.35">
      <c r="A162" s="132">
        <v>5</v>
      </c>
      <c r="B162" s="39" t="s">
        <v>168</v>
      </c>
      <c r="C162" s="45">
        <v>30</v>
      </c>
      <c r="D162" s="156" t="s">
        <v>165</v>
      </c>
      <c r="E162" s="159" t="s">
        <v>411</v>
      </c>
      <c r="F162" s="157" t="s">
        <v>52</v>
      </c>
      <c r="G162" s="158"/>
      <c r="H162" s="158" t="s">
        <v>413</v>
      </c>
      <c r="I162" s="159" t="s">
        <v>412</v>
      </c>
      <c r="J162" s="200" t="s">
        <v>1383</v>
      </c>
      <c r="K162" s="200"/>
      <c r="L162" s="200"/>
      <c r="M162" s="201"/>
      <c r="N162" s="201"/>
      <c r="O162" s="202"/>
      <c r="P162" s="106" t="b">
        <f t="shared" si="6"/>
        <v>1</v>
      </c>
    </row>
    <row r="163" spans="1:16" ht="19.5" hidden="1" thickBot="1" x14ac:dyDescent="0.3">
      <c r="A163" s="137">
        <v>5</v>
      </c>
      <c r="B163" s="138" t="s">
        <v>168</v>
      </c>
      <c r="C163" s="15">
        <f>COUNTA(C133:C162)</f>
        <v>30</v>
      </c>
      <c r="D163" s="139" t="s">
        <v>1</v>
      </c>
      <c r="E163" s="139" t="s">
        <v>1374</v>
      </c>
      <c r="F163" s="15">
        <f>COUNTA(F133:F162)</f>
        <v>26</v>
      </c>
      <c r="G163" s="15">
        <f>COUNTA(G133:G162)</f>
        <v>4</v>
      </c>
      <c r="H163" s="304" t="s">
        <v>3</v>
      </c>
      <c r="I163" s="305"/>
      <c r="J163" s="107">
        <f t="shared" ref="J163:O163" si="7">COUNTA(J133:J162)</f>
        <v>22</v>
      </c>
      <c r="K163" s="107">
        <f t="shared" si="7"/>
        <v>5</v>
      </c>
      <c r="L163" s="107">
        <f t="shared" si="7"/>
        <v>4</v>
      </c>
      <c r="M163" s="107">
        <f t="shared" si="7"/>
        <v>1</v>
      </c>
      <c r="N163" s="107">
        <f t="shared" si="7"/>
        <v>0</v>
      </c>
      <c r="O163" s="107">
        <f t="shared" si="7"/>
        <v>2</v>
      </c>
      <c r="P163" s="107">
        <f>COUNTIF(P133:P162,TRUE)</f>
        <v>22</v>
      </c>
    </row>
    <row r="164" spans="1:16" x14ac:dyDescent="0.3">
      <c r="A164" s="140">
        <v>6</v>
      </c>
      <c r="B164" s="36" t="s">
        <v>210</v>
      </c>
      <c r="C164" s="46">
        <v>1</v>
      </c>
      <c r="D164" s="120" t="s">
        <v>172</v>
      </c>
      <c r="E164" s="144" t="s">
        <v>222</v>
      </c>
      <c r="F164" s="121" t="s">
        <v>52</v>
      </c>
      <c r="G164" s="165"/>
      <c r="H164" s="142" t="s">
        <v>258</v>
      </c>
      <c r="I164" s="144" t="s">
        <v>213</v>
      </c>
      <c r="J164" s="209"/>
      <c r="K164" s="209"/>
      <c r="L164" s="209"/>
      <c r="M164" s="210"/>
      <c r="N164" s="210"/>
      <c r="O164" s="211"/>
      <c r="P164" s="106" t="b">
        <f t="shared" si="6"/>
        <v>0</v>
      </c>
    </row>
    <row r="165" spans="1:16" x14ac:dyDescent="0.3">
      <c r="A165" s="124">
        <v>6</v>
      </c>
      <c r="B165" s="37" t="s">
        <v>210</v>
      </c>
      <c r="C165" s="38">
        <v>2</v>
      </c>
      <c r="D165" s="125" t="s">
        <v>173</v>
      </c>
      <c r="E165" s="123" t="s">
        <v>226</v>
      </c>
      <c r="F165" s="126" t="s">
        <v>52</v>
      </c>
      <c r="G165" s="128"/>
      <c r="H165" s="122" t="s">
        <v>257</v>
      </c>
      <c r="I165" s="123" t="s">
        <v>259</v>
      </c>
      <c r="J165" s="212"/>
      <c r="K165" s="212"/>
      <c r="L165" s="212"/>
      <c r="M165" s="213"/>
      <c r="N165" s="213"/>
      <c r="O165" s="214"/>
      <c r="P165" s="106" t="b">
        <f t="shared" si="6"/>
        <v>0</v>
      </c>
    </row>
    <row r="166" spans="1:16" x14ac:dyDescent="0.3">
      <c r="A166" s="124">
        <v>6</v>
      </c>
      <c r="B166" s="37" t="s">
        <v>210</v>
      </c>
      <c r="C166" s="38">
        <v>3</v>
      </c>
      <c r="D166" s="125" t="s">
        <v>171</v>
      </c>
      <c r="E166" s="123" t="s">
        <v>213</v>
      </c>
      <c r="F166" s="126" t="s">
        <v>52</v>
      </c>
      <c r="G166" s="131"/>
      <c r="H166" s="122" t="s">
        <v>315</v>
      </c>
      <c r="I166" s="123" t="s">
        <v>263</v>
      </c>
      <c r="J166" s="212" t="s">
        <v>1383</v>
      </c>
      <c r="K166" s="212"/>
      <c r="L166" s="212"/>
      <c r="M166" s="213"/>
      <c r="N166" s="213"/>
      <c r="O166" s="214"/>
      <c r="P166" s="106" t="b">
        <f t="shared" si="6"/>
        <v>1</v>
      </c>
    </row>
    <row r="167" spans="1:16" x14ac:dyDescent="0.3">
      <c r="A167" s="124">
        <v>6</v>
      </c>
      <c r="B167" s="37" t="s">
        <v>210</v>
      </c>
      <c r="C167" s="38">
        <v>4</v>
      </c>
      <c r="D167" s="125" t="s">
        <v>174</v>
      </c>
      <c r="E167" s="123" t="s">
        <v>214</v>
      </c>
      <c r="F167" s="131"/>
      <c r="G167" s="128" t="s">
        <v>53</v>
      </c>
      <c r="H167" s="154" t="s">
        <v>258</v>
      </c>
      <c r="I167" s="155" t="s">
        <v>213</v>
      </c>
      <c r="J167" s="212"/>
      <c r="K167" s="212"/>
      <c r="L167" s="212"/>
      <c r="M167" s="213"/>
      <c r="N167" s="213"/>
      <c r="O167" s="214"/>
      <c r="P167" s="106" t="b">
        <f t="shared" si="6"/>
        <v>0</v>
      </c>
    </row>
    <row r="168" spans="1:16" x14ac:dyDescent="0.3">
      <c r="A168" s="124">
        <v>6</v>
      </c>
      <c r="B168" s="37" t="s">
        <v>210</v>
      </c>
      <c r="C168" s="38">
        <v>5</v>
      </c>
      <c r="D168" s="125" t="s">
        <v>175</v>
      </c>
      <c r="E168" s="123" t="s">
        <v>215</v>
      </c>
      <c r="F168" s="126" t="s">
        <v>52</v>
      </c>
      <c r="G168" s="131"/>
      <c r="H168" s="122" t="s">
        <v>258</v>
      </c>
      <c r="I168" s="123" t="s">
        <v>213</v>
      </c>
      <c r="J168" s="212" t="s">
        <v>1383</v>
      </c>
      <c r="K168" s="212"/>
      <c r="L168" s="212"/>
      <c r="M168" s="213"/>
      <c r="N168" s="213"/>
      <c r="O168" s="214"/>
      <c r="P168" s="106" t="b">
        <f t="shared" si="6"/>
        <v>1</v>
      </c>
    </row>
    <row r="169" spans="1:16" x14ac:dyDescent="0.3">
      <c r="A169" s="124">
        <v>6</v>
      </c>
      <c r="B169" s="37" t="s">
        <v>210</v>
      </c>
      <c r="C169" s="38">
        <v>6</v>
      </c>
      <c r="D169" s="125" t="s">
        <v>176</v>
      </c>
      <c r="E169" s="123" t="s">
        <v>216</v>
      </c>
      <c r="F169" s="131"/>
      <c r="G169" s="128" t="s">
        <v>53</v>
      </c>
      <c r="H169" s="154" t="s">
        <v>258</v>
      </c>
      <c r="I169" s="155" t="s">
        <v>213</v>
      </c>
      <c r="J169" s="212"/>
      <c r="K169" s="212"/>
      <c r="L169" s="212"/>
      <c r="M169" s="213"/>
      <c r="N169" s="213"/>
      <c r="O169" s="214"/>
      <c r="P169" s="106" t="b">
        <f t="shared" si="6"/>
        <v>0</v>
      </c>
    </row>
    <row r="170" spans="1:16" x14ac:dyDescent="0.3">
      <c r="A170" s="124">
        <v>6</v>
      </c>
      <c r="B170" s="37" t="s">
        <v>210</v>
      </c>
      <c r="C170" s="38">
        <v>7</v>
      </c>
      <c r="D170" s="125" t="s">
        <v>177</v>
      </c>
      <c r="E170" s="123" t="s">
        <v>221</v>
      </c>
      <c r="F170" s="126" t="s">
        <v>52</v>
      </c>
      <c r="G170" s="131"/>
      <c r="H170" s="122" t="s">
        <v>258</v>
      </c>
      <c r="I170" s="123" t="s">
        <v>213</v>
      </c>
      <c r="J170" s="212" t="s">
        <v>1383</v>
      </c>
      <c r="K170" s="212"/>
      <c r="L170" s="212"/>
      <c r="M170" s="213"/>
      <c r="N170" s="213"/>
      <c r="O170" s="214"/>
      <c r="P170" s="106" t="b">
        <f t="shared" si="6"/>
        <v>1</v>
      </c>
    </row>
    <row r="171" spans="1:16" x14ac:dyDescent="0.3">
      <c r="A171" s="124">
        <v>6</v>
      </c>
      <c r="B171" s="37" t="s">
        <v>210</v>
      </c>
      <c r="C171" s="38">
        <v>8</v>
      </c>
      <c r="D171" s="125" t="s">
        <v>178</v>
      </c>
      <c r="E171" s="123" t="s">
        <v>220</v>
      </c>
      <c r="F171" s="131"/>
      <c r="G171" s="128" t="s">
        <v>53</v>
      </c>
      <c r="H171" s="154" t="s">
        <v>258</v>
      </c>
      <c r="I171" s="155" t="s">
        <v>213</v>
      </c>
      <c r="J171" s="212"/>
      <c r="K171" s="212"/>
      <c r="L171" s="212"/>
      <c r="M171" s="213"/>
      <c r="N171" s="213"/>
      <c r="O171" s="214"/>
      <c r="P171" s="106" t="b">
        <f t="shared" si="6"/>
        <v>0</v>
      </c>
    </row>
    <row r="172" spans="1:16" x14ac:dyDescent="0.3">
      <c r="A172" s="124">
        <v>6</v>
      </c>
      <c r="B172" s="37" t="s">
        <v>210</v>
      </c>
      <c r="C172" s="38">
        <v>9</v>
      </c>
      <c r="D172" s="125" t="s">
        <v>179</v>
      </c>
      <c r="E172" s="123" t="s">
        <v>217</v>
      </c>
      <c r="F172" s="126" t="s">
        <v>52</v>
      </c>
      <c r="G172" s="131"/>
      <c r="H172" s="122" t="s">
        <v>258</v>
      </c>
      <c r="I172" s="123" t="s">
        <v>213</v>
      </c>
      <c r="J172" s="212" t="s">
        <v>1383</v>
      </c>
      <c r="K172" s="212"/>
      <c r="L172" s="212"/>
      <c r="M172" s="213"/>
      <c r="N172" s="213"/>
      <c r="O172" s="214"/>
      <c r="P172" s="106" t="b">
        <f t="shared" si="6"/>
        <v>1</v>
      </c>
    </row>
    <row r="173" spans="1:16" x14ac:dyDescent="0.3">
      <c r="A173" s="124">
        <v>6</v>
      </c>
      <c r="B173" s="37" t="s">
        <v>210</v>
      </c>
      <c r="C173" s="38">
        <v>10</v>
      </c>
      <c r="D173" s="125" t="s">
        <v>180</v>
      </c>
      <c r="E173" s="123" t="s">
        <v>218</v>
      </c>
      <c r="F173" s="126" t="s">
        <v>52</v>
      </c>
      <c r="G173" s="128"/>
      <c r="H173" s="122" t="s">
        <v>260</v>
      </c>
      <c r="I173" s="123" t="s">
        <v>261</v>
      </c>
      <c r="J173" s="212"/>
      <c r="K173" s="212"/>
      <c r="L173" s="212"/>
      <c r="M173" s="213"/>
      <c r="N173" s="213"/>
      <c r="O173" s="214"/>
      <c r="P173" s="106" t="b">
        <f t="shared" si="6"/>
        <v>0</v>
      </c>
    </row>
    <row r="174" spans="1:16" x14ac:dyDescent="0.3">
      <c r="A174" s="124">
        <v>6</v>
      </c>
      <c r="B174" s="37" t="s">
        <v>210</v>
      </c>
      <c r="C174" s="38">
        <v>11</v>
      </c>
      <c r="D174" s="125" t="s">
        <v>181</v>
      </c>
      <c r="E174" s="123" t="s">
        <v>219</v>
      </c>
      <c r="F174" s="131"/>
      <c r="G174" s="128" t="s">
        <v>53</v>
      </c>
      <c r="H174" s="154" t="s">
        <v>258</v>
      </c>
      <c r="I174" s="155" t="s">
        <v>213</v>
      </c>
      <c r="J174" s="212"/>
      <c r="K174" s="212"/>
      <c r="L174" s="212"/>
      <c r="M174" s="213"/>
      <c r="N174" s="213"/>
      <c r="O174" s="214"/>
      <c r="P174" s="106" t="b">
        <f t="shared" si="6"/>
        <v>0</v>
      </c>
    </row>
    <row r="175" spans="1:16" x14ac:dyDescent="0.3">
      <c r="A175" s="124">
        <v>6</v>
      </c>
      <c r="B175" s="37" t="s">
        <v>210</v>
      </c>
      <c r="C175" s="38">
        <v>12</v>
      </c>
      <c r="D175" s="125" t="s">
        <v>182</v>
      </c>
      <c r="E175" s="123" t="s">
        <v>223</v>
      </c>
      <c r="F175" s="126" t="s">
        <v>52</v>
      </c>
      <c r="G175" s="128"/>
      <c r="H175" s="122" t="s">
        <v>264</v>
      </c>
      <c r="I175" s="123" t="s">
        <v>263</v>
      </c>
      <c r="J175" s="212"/>
      <c r="K175" s="212"/>
      <c r="L175" s="212"/>
      <c r="M175" s="213"/>
      <c r="N175" s="213"/>
      <c r="O175" s="214"/>
      <c r="P175" s="106" t="b">
        <f t="shared" si="6"/>
        <v>0</v>
      </c>
    </row>
    <row r="176" spans="1:16" x14ac:dyDescent="0.3">
      <c r="A176" s="124">
        <v>6</v>
      </c>
      <c r="B176" s="37" t="s">
        <v>210</v>
      </c>
      <c r="C176" s="38">
        <v>13</v>
      </c>
      <c r="D176" s="125" t="s">
        <v>183</v>
      </c>
      <c r="E176" s="123" t="s">
        <v>224</v>
      </c>
      <c r="F176" s="131"/>
      <c r="G176" s="128" t="s">
        <v>53</v>
      </c>
      <c r="H176" s="154" t="s">
        <v>258</v>
      </c>
      <c r="I176" s="155" t="s">
        <v>213</v>
      </c>
      <c r="J176" s="212"/>
      <c r="K176" s="212"/>
      <c r="L176" s="212"/>
      <c r="M176" s="213"/>
      <c r="N176" s="213"/>
      <c r="O176" s="214"/>
      <c r="P176" s="106" t="b">
        <f t="shared" si="6"/>
        <v>0</v>
      </c>
    </row>
    <row r="177" spans="1:16" x14ac:dyDescent="0.3">
      <c r="A177" s="124">
        <v>6</v>
      </c>
      <c r="B177" s="37" t="s">
        <v>210</v>
      </c>
      <c r="C177" s="38">
        <v>14</v>
      </c>
      <c r="D177" s="125" t="s">
        <v>184</v>
      </c>
      <c r="E177" s="123" t="s">
        <v>225</v>
      </c>
      <c r="F177" s="126" t="s">
        <v>52</v>
      </c>
      <c r="G177" s="128"/>
      <c r="H177" s="122" t="s">
        <v>264</v>
      </c>
      <c r="I177" s="123" t="s">
        <v>263</v>
      </c>
      <c r="J177" s="212"/>
      <c r="K177" s="212"/>
      <c r="L177" s="212"/>
      <c r="M177" s="213"/>
      <c r="N177" s="213"/>
      <c r="O177" s="214"/>
      <c r="P177" s="106" t="b">
        <f t="shared" si="6"/>
        <v>0</v>
      </c>
    </row>
    <row r="178" spans="1:16" x14ac:dyDescent="0.3">
      <c r="A178" s="124">
        <v>6</v>
      </c>
      <c r="B178" s="37" t="s">
        <v>210</v>
      </c>
      <c r="C178" s="38">
        <v>15</v>
      </c>
      <c r="D178" s="125" t="s">
        <v>185</v>
      </c>
      <c r="E178" s="123" t="s">
        <v>227</v>
      </c>
      <c r="F178" s="131"/>
      <c r="G178" s="128" t="s">
        <v>53</v>
      </c>
      <c r="H178" s="154" t="s">
        <v>258</v>
      </c>
      <c r="I178" s="155" t="s">
        <v>213</v>
      </c>
      <c r="J178" s="212"/>
      <c r="K178" s="212"/>
      <c r="L178" s="212"/>
      <c r="M178" s="213"/>
      <c r="N178" s="213"/>
      <c r="O178" s="214"/>
      <c r="P178" s="106" t="b">
        <f t="shared" si="6"/>
        <v>0</v>
      </c>
    </row>
    <row r="179" spans="1:16" x14ac:dyDescent="0.3">
      <c r="A179" s="124">
        <v>6</v>
      </c>
      <c r="B179" s="37" t="s">
        <v>210</v>
      </c>
      <c r="C179" s="38">
        <v>16</v>
      </c>
      <c r="D179" s="125" t="s">
        <v>186</v>
      </c>
      <c r="E179" s="123" t="s">
        <v>228</v>
      </c>
      <c r="F179" s="126" t="s">
        <v>52</v>
      </c>
      <c r="G179" s="131"/>
      <c r="H179" s="122" t="s">
        <v>258</v>
      </c>
      <c r="I179" s="123" t="s">
        <v>213</v>
      </c>
      <c r="J179" s="212" t="s">
        <v>1383</v>
      </c>
      <c r="K179" s="212"/>
      <c r="L179" s="212"/>
      <c r="M179" s="213"/>
      <c r="N179" s="213"/>
      <c r="O179" s="214"/>
      <c r="P179" s="106" t="b">
        <f t="shared" si="6"/>
        <v>1</v>
      </c>
    </row>
    <row r="180" spans="1:16" x14ac:dyDescent="0.3">
      <c r="A180" s="124">
        <v>6</v>
      </c>
      <c r="B180" s="37" t="s">
        <v>210</v>
      </c>
      <c r="C180" s="38">
        <v>17</v>
      </c>
      <c r="D180" s="125" t="s">
        <v>187</v>
      </c>
      <c r="E180" s="123" t="s">
        <v>229</v>
      </c>
      <c r="F180" s="126" t="s">
        <v>52</v>
      </c>
      <c r="G180" s="128"/>
      <c r="H180" s="122" t="s">
        <v>260</v>
      </c>
      <c r="I180" s="123" t="s">
        <v>261</v>
      </c>
      <c r="J180" s="212"/>
      <c r="K180" s="212"/>
      <c r="L180" s="212"/>
      <c r="M180" s="213"/>
      <c r="N180" s="213"/>
      <c r="O180" s="214"/>
      <c r="P180" s="106" t="b">
        <f t="shared" si="6"/>
        <v>0</v>
      </c>
    </row>
    <row r="181" spans="1:16" x14ac:dyDescent="0.3">
      <c r="A181" s="124">
        <v>6</v>
      </c>
      <c r="B181" s="37" t="s">
        <v>210</v>
      </c>
      <c r="C181" s="38">
        <v>18</v>
      </c>
      <c r="D181" s="125" t="s">
        <v>188</v>
      </c>
      <c r="E181" s="123" t="s">
        <v>230</v>
      </c>
      <c r="F181" s="126" t="s">
        <v>52</v>
      </c>
      <c r="G181" s="128"/>
      <c r="H181" s="122" t="s">
        <v>264</v>
      </c>
      <c r="I181" s="123" t="s">
        <v>263</v>
      </c>
      <c r="J181" s="212" t="s">
        <v>1383</v>
      </c>
      <c r="K181" s="212"/>
      <c r="L181" s="212"/>
      <c r="M181" s="213"/>
      <c r="N181" s="213"/>
      <c r="O181" s="214"/>
      <c r="P181" s="106" t="b">
        <f t="shared" si="6"/>
        <v>1</v>
      </c>
    </row>
    <row r="182" spans="1:16" x14ac:dyDescent="0.3">
      <c r="A182" s="124">
        <v>6</v>
      </c>
      <c r="B182" s="37" t="s">
        <v>210</v>
      </c>
      <c r="C182" s="38">
        <v>19</v>
      </c>
      <c r="D182" s="125" t="s">
        <v>189</v>
      </c>
      <c r="E182" s="123" t="s">
        <v>231</v>
      </c>
      <c r="F182" s="131"/>
      <c r="G182" s="128" t="s">
        <v>53</v>
      </c>
      <c r="H182" s="154" t="s">
        <v>258</v>
      </c>
      <c r="I182" s="155" t="s">
        <v>213</v>
      </c>
      <c r="J182" s="212"/>
      <c r="K182" s="212"/>
      <c r="L182" s="212"/>
      <c r="M182" s="213"/>
      <c r="N182" s="213"/>
      <c r="O182" s="214"/>
      <c r="P182" s="106" t="b">
        <f t="shared" si="6"/>
        <v>0</v>
      </c>
    </row>
    <row r="183" spans="1:16" x14ac:dyDescent="0.3">
      <c r="A183" s="124">
        <v>6</v>
      </c>
      <c r="B183" s="37" t="s">
        <v>210</v>
      </c>
      <c r="C183" s="38">
        <v>20</v>
      </c>
      <c r="D183" s="125" t="s">
        <v>34</v>
      </c>
      <c r="E183" s="123" t="s">
        <v>232</v>
      </c>
      <c r="F183" s="126" t="s">
        <v>52</v>
      </c>
      <c r="G183" s="131"/>
      <c r="H183" s="122" t="s">
        <v>258</v>
      </c>
      <c r="I183" s="123" t="s">
        <v>213</v>
      </c>
      <c r="J183" s="212" t="s">
        <v>1383</v>
      </c>
      <c r="K183" s="212"/>
      <c r="L183" s="212"/>
      <c r="M183" s="213"/>
      <c r="N183" s="213"/>
      <c r="O183" s="214"/>
      <c r="P183" s="106" t="b">
        <f t="shared" si="6"/>
        <v>1</v>
      </c>
    </row>
    <row r="184" spans="1:16" x14ac:dyDescent="0.3">
      <c r="A184" s="124">
        <v>6</v>
      </c>
      <c r="B184" s="37" t="s">
        <v>210</v>
      </c>
      <c r="C184" s="38">
        <v>21</v>
      </c>
      <c r="D184" s="125" t="s">
        <v>190</v>
      </c>
      <c r="E184" s="123" t="s">
        <v>233</v>
      </c>
      <c r="F184" s="126" t="s">
        <v>52</v>
      </c>
      <c r="G184" s="128"/>
      <c r="H184" s="122" t="s">
        <v>264</v>
      </c>
      <c r="I184" s="123" t="s">
        <v>263</v>
      </c>
      <c r="J184" s="212"/>
      <c r="K184" s="212"/>
      <c r="L184" s="212"/>
      <c r="M184" s="213"/>
      <c r="N184" s="213"/>
      <c r="O184" s="214"/>
      <c r="P184" s="106" t="b">
        <f t="shared" si="6"/>
        <v>0</v>
      </c>
    </row>
    <row r="185" spans="1:16" x14ac:dyDescent="0.3">
      <c r="A185" s="124">
        <v>6</v>
      </c>
      <c r="B185" s="37" t="s">
        <v>210</v>
      </c>
      <c r="C185" s="38">
        <v>22</v>
      </c>
      <c r="D185" s="125" t="s">
        <v>191</v>
      </c>
      <c r="E185" s="123" t="s">
        <v>234</v>
      </c>
      <c r="F185" s="126" t="s">
        <v>52</v>
      </c>
      <c r="G185" s="131"/>
      <c r="H185" s="122" t="s">
        <v>258</v>
      </c>
      <c r="I185" s="123" t="s">
        <v>213</v>
      </c>
      <c r="J185" s="212" t="s">
        <v>1383</v>
      </c>
      <c r="K185" s="212"/>
      <c r="L185" s="212"/>
      <c r="M185" s="213"/>
      <c r="N185" s="213"/>
      <c r="O185" s="214"/>
      <c r="P185" s="106" t="b">
        <f t="shared" si="6"/>
        <v>1</v>
      </c>
    </row>
    <row r="186" spans="1:16" x14ac:dyDescent="0.3">
      <c r="A186" s="124">
        <v>6</v>
      </c>
      <c r="B186" s="37" t="s">
        <v>210</v>
      </c>
      <c r="C186" s="38">
        <v>23</v>
      </c>
      <c r="D186" s="125" t="s">
        <v>192</v>
      </c>
      <c r="E186" s="123" t="s">
        <v>235</v>
      </c>
      <c r="F186" s="126" t="s">
        <v>52</v>
      </c>
      <c r="G186" s="131"/>
      <c r="H186" s="122" t="s">
        <v>170</v>
      </c>
      <c r="I186" s="123" t="s">
        <v>265</v>
      </c>
      <c r="J186" s="212"/>
      <c r="K186" s="212"/>
      <c r="L186" s="212"/>
      <c r="M186" s="213"/>
      <c r="N186" s="213"/>
      <c r="O186" s="214"/>
      <c r="P186" s="106" t="b">
        <f t="shared" si="6"/>
        <v>0</v>
      </c>
    </row>
    <row r="187" spans="1:16" x14ac:dyDescent="0.3">
      <c r="A187" s="124">
        <v>6</v>
      </c>
      <c r="B187" s="37" t="s">
        <v>210</v>
      </c>
      <c r="C187" s="38">
        <v>24</v>
      </c>
      <c r="D187" s="125" t="s">
        <v>193</v>
      </c>
      <c r="E187" s="123" t="s">
        <v>236</v>
      </c>
      <c r="F187" s="126" t="s">
        <v>52</v>
      </c>
      <c r="G187" s="131"/>
      <c r="H187" s="122" t="s">
        <v>258</v>
      </c>
      <c r="I187" s="123" t="s">
        <v>213</v>
      </c>
      <c r="J187" s="212"/>
      <c r="K187" s="212"/>
      <c r="L187" s="212"/>
      <c r="M187" s="213"/>
      <c r="N187" s="213"/>
      <c r="O187" s="214"/>
      <c r="P187" s="106" t="b">
        <f t="shared" si="6"/>
        <v>0</v>
      </c>
    </row>
    <row r="188" spans="1:16" x14ac:dyDescent="0.3">
      <c r="A188" s="124">
        <v>6</v>
      </c>
      <c r="B188" s="37" t="s">
        <v>210</v>
      </c>
      <c r="C188" s="38">
        <v>25</v>
      </c>
      <c r="D188" s="125" t="s">
        <v>194</v>
      </c>
      <c r="E188" s="123" t="s">
        <v>237</v>
      </c>
      <c r="F188" s="131"/>
      <c r="G188" s="128" t="s">
        <v>53</v>
      </c>
      <c r="H188" s="154" t="s">
        <v>258</v>
      </c>
      <c r="I188" s="155" t="s">
        <v>213</v>
      </c>
      <c r="J188" s="212"/>
      <c r="K188" s="212"/>
      <c r="L188" s="212"/>
      <c r="M188" s="213"/>
      <c r="N188" s="213"/>
      <c r="O188" s="214"/>
      <c r="P188" s="106" t="b">
        <f t="shared" si="6"/>
        <v>0</v>
      </c>
    </row>
    <row r="189" spans="1:16" x14ac:dyDescent="0.3">
      <c r="A189" s="124">
        <v>6</v>
      </c>
      <c r="B189" s="37" t="s">
        <v>210</v>
      </c>
      <c r="C189" s="38">
        <v>26</v>
      </c>
      <c r="D189" s="125" t="s">
        <v>38</v>
      </c>
      <c r="E189" s="123" t="s">
        <v>266</v>
      </c>
      <c r="F189" s="131"/>
      <c r="G189" s="128" t="s">
        <v>53</v>
      </c>
      <c r="H189" s="154" t="s">
        <v>258</v>
      </c>
      <c r="I189" s="155" t="s">
        <v>213</v>
      </c>
      <c r="J189" s="212"/>
      <c r="K189" s="212"/>
      <c r="L189" s="212"/>
      <c r="M189" s="213"/>
      <c r="N189" s="213"/>
      <c r="O189" s="214"/>
      <c r="P189" s="106" t="b">
        <f t="shared" si="6"/>
        <v>0</v>
      </c>
    </row>
    <row r="190" spans="1:16" x14ac:dyDescent="0.3">
      <c r="A190" s="124">
        <v>6</v>
      </c>
      <c r="B190" s="37" t="s">
        <v>210</v>
      </c>
      <c r="C190" s="38">
        <v>27</v>
      </c>
      <c r="D190" s="125" t="s">
        <v>196</v>
      </c>
      <c r="E190" s="123" t="s">
        <v>238</v>
      </c>
      <c r="F190" s="126" t="s">
        <v>52</v>
      </c>
      <c r="G190" s="128"/>
      <c r="H190" s="122" t="s">
        <v>260</v>
      </c>
      <c r="I190" s="123" t="s">
        <v>261</v>
      </c>
      <c r="J190" s="212" t="s">
        <v>1383</v>
      </c>
      <c r="K190" s="212"/>
      <c r="L190" s="212"/>
      <c r="M190" s="213"/>
      <c r="N190" s="213"/>
      <c r="O190" s="214"/>
      <c r="P190" s="106" t="b">
        <f t="shared" si="6"/>
        <v>1</v>
      </c>
    </row>
    <row r="191" spans="1:16" x14ac:dyDescent="0.3">
      <c r="A191" s="124">
        <v>6</v>
      </c>
      <c r="B191" s="37" t="s">
        <v>210</v>
      </c>
      <c r="C191" s="38">
        <v>28</v>
      </c>
      <c r="D191" s="125" t="s">
        <v>195</v>
      </c>
      <c r="E191" s="123" t="s">
        <v>239</v>
      </c>
      <c r="F191" s="126" t="s">
        <v>52</v>
      </c>
      <c r="G191" s="131"/>
      <c r="H191" s="122" t="s">
        <v>258</v>
      </c>
      <c r="I191" s="123" t="s">
        <v>213</v>
      </c>
      <c r="J191" s="212" t="s">
        <v>1383</v>
      </c>
      <c r="K191" s="212"/>
      <c r="L191" s="212"/>
      <c r="M191" s="213"/>
      <c r="N191" s="213"/>
      <c r="O191" s="214"/>
      <c r="P191" s="106" t="b">
        <f t="shared" si="6"/>
        <v>1</v>
      </c>
    </row>
    <row r="192" spans="1:16" x14ac:dyDescent="0.3">
      <c r="A192" s="124">
        <v>6</v>
      </c>
      <c r="B192" s="37" t="s">
        <v>210</v>
      </c>
      <c r="C192" s="38">
        <v>29</v>
      </c>
      <c r="D192" s="125" t="s">
        <v>197</v>
      </c>
      <c r="E192" s="123" t="s">
        <v>240</v>
      </c>
      <c r="F192" s="126" t="s">
        <v>52</v>
      </c>
      <c r="G192" s="128"/>
      <c r="H192" s="122" t="s">
        <v>267</v>
      </c>
      <c r="I192" s="123" t="s">
        <v>268</v>
      </c>
      <c r="J192" s="212"/>
      <c r="K192" s="212"/>
      <c r="L192" s="212"/>
      <c r="M192" s="213"/>
      <c r="N192" s="213"/>
      <c r="O192" s="214"/>
      <c r="P192" s="106" t="b">
        <f t="shared" si="6"/>
        <v>0</v>
      </c>
    </row>
    <row r="193" spans="1:16" x14ac:dyDescent="0.3">
      <c r="A193" s="124">
        <v>6</v>
      </c>
      <c r="B193" s="37" t="s">
        <v>210</v>
      </c>
      <c r="C193" s="38">
        <v>30</v>
      </c>
      <c r="D193" s="125" t="s">
        <v>198</v>
      </c>
      <c r="E193" s="123" t="s">
        <v>241</v>
      </c>
      <c r="F193" s="126" t="s">
        <v>52</v>
      </c>
      <c r="G193" s="131"/>
      <c r="H193" s="122" t="s">
        <v>258</v>
      </c>
      <c r="I193" s="123" t="s">
        <v>213</v>
      </c>
      <c r="J193" s="212" t="s">
        <v>1383</v>
      </c>
      <c r="K193" s="212"/>
      <c r="L193" s="212"/>
      <c r="M193" s="213"/>
      <c r="N193" s="213"/>
      <c r="O193" s="214"/>
      <c r="P193" s="106" t="b">
        <f t="shared" si="6"/>
        <v>1</v>
      </c>
    </row>
    <row r="194" spans="1:16" x14ac:dyDescent="0.3">
      <c r="A194" s="124">
        <v>6</v>
      </c>
      <c r="B194" s="37" t="s">
        <v>210</v>
      </c>
      <c r="C194" s="38">
        <v>31</v>
      </c>
      <c r="D194" s="125" t="s">
        <v>199</v>
      </c>
      <c r="E194" s="123" t="s">
        <v>242</v>
      </c>
      <c r="F194" s="126" t="s">
        <v>52</v>
      </c>
      <c r="G194" s="131"/>
      <c r="H194" s="122" t="s">
        <v>170</v>
      </c>
      <c r="I194" s="123" t="s">
        <v>265</v>
      </c>
      <c r="J194" s="212"/>
      <c r="K194" s="212"/>
      <c r="L194" s="212"/>
      <c r="M194" s="213"/>
      <c r="N194" s="213"/>
      <c r="O194" s="214"/>
      <c r="P194" s="106" t="b">
        <f t="shared" si="6"/>
        <v>0</v>
      </c>
    </row>
    <row r="195" spans="1:16" x14ac:dyDescent="0.3">
      <c r="A195" s="124">
        <v>6</v>
      </c>
      <c r="B195" s="37" t="s">
        <v>210</v>
      </c>
      <c r="C195" s="38">
        <v>32</v>
      </c>
      <c r="D195" s="125" t="s">
        <v>200</v>
      </c>
      <c r="E195" s="123" t="s">
        <v>243</v>
      </c>
      <c r="F195" s="131"/>
      <c r="G195" s="128" t="s">
        <v>53</v>
      </c>
      <c r="H195" s="154" t="s">
        <v>258</v>
      </c>
      <c r="I195" s="155" t="s">
        <v>213</v>
      </c>
      <c r="J195" s="212"/>
      <c r="K195" s="212"/>
      <c r="L195" s="212"/>
      <c r="M195" s="213"/>
      <c r="N195" s="213"/>
      <c r="O195" s="214"/>
      <c r="P195" s="106" t="b">
        <f t="shared" si="6"/>
        <v>0</v>
      </c>
    </row>
    <row r="196" spans="1:16" x14ac:dyDescent="0.3">
      <c r="A196" s="124">
        <v>6</v>
      </c>
      <c r="B196" s="37" t="s">
        <v>210</v>
      </c>
      <c r="C196" s="38">
        <v>33</v>
      </c>
      <c r="D196" s="125" t="s">
        <v>201</v>
      </c>
      <c r="E196" s="123" t="s">
        <v>244</v>
      </c>
      <c r="F196" s="131"/>
      <c r="G196" s="128" t="s">
        <v>53</v>
      </c>
      <c r="H196" s="154" t="s">
        <v>258</v>
      </c>
      <c r="I196" s="155" t="s">
        <v>213</v>
      </c>
      <c r="J196" s="212"/>
      <c r="K196" s="212"/>
      <c r="L196" s="212"/>
      <c r="M196" s="213"/>
      <c r="N196" s="213"/>
      <c r="O196" s="214"/>
      <c r="P196" s="106" t="b">
        <f t="shared" si="6"/>
        <v>0</v>
      </c>
    </row>
    <row r="197" spans="1:16" x14ac:dyDescent="0.3">
      <c r="A197" s="124">
        <v>6</v>
      </c>
      <c r="B197" s="37" t="s">
        <v>210</v>
      </c>
      <c r="C197" s="38">
        <v>34</v>
      </c>
      <c r="D197" s="125" t="s">
        <v>47</v>
      </c>
      <c r="E197" s="123" t="s">
        <v>245</v>
      </c>
      <c r="F197" s="126" t="s">
        <v>52</v>
      </c>
      <c r="G197" s="128"/>
      <c r="H197" s="122" t="s">
        <v>260</v>
      </c>
      <c r="I197" s="123" t="s">
        <v>261</v>
      </c>
      <c r="J197" s="212"/>
      <c r="K197" s="212"/>
      <c r="L197" s="212"/>
      <c r="M197" s="213"/>
      <c r="N197" s="213"/>
      <c r="O197" s="214"/>
      <c r="P197" s="106" t="b">
        <f t="shared" si="6"/>
        <v>0</v>
      </c>
    </row>
    <row r="198" spans="1:16" x14ac:dyDescent="0.3">
      <c r="A198" s="124">
        <v>6</v>
      </c>
      <c r="B198" s="37" t="s">
        <v>210</v>
      </c>
      <c r="C198" s="38">
        <v>35</v>
      </c>
      <c r="D198" s="17" t="s">
        <v>211</v>
      </c>
      <c r="E198" s="123" t="s">
        <v>246</v>
      </c>
      <c r="F198" s="126" t="s">
        <v>52</v>
      </c>
      <c r="G198" s="131"/>
      <c r="H198" s="122" t="s">
        <v>258</v>
      </c>
      <c r="I198" s="123" t="s">
        <v>213</v>
      </c>
      <c r="J198" s="212"/>
      <c r="K198" s="212"/>
      <c r="L198" s="212"/>
      <c r="M198" s="213"/>
      <c r="N198" s="213"/>
      <c r="O198" s="214"/>
      <c r="P198" s="106" t="b">
        <f t="shared" ref="P198:P261" si="8">IF(COUNTA(J198:O198)=0,FALSE,TRUE)</f>
        <v>0</v>
      </c>
    </row>
    <row r="199" spans="1:16" x14ac:dyDescent="0.3">
      <c r="A199" s="124">
        <v>6</v>
      </c>
      <c r="B199" s="37" t="s">
        <v>210</v>
      </c>
      <c r="C199" s="38">
        <v>36</v>
      </c>
      <c r="D199" s="17" t="s">
        <v>212</v>
      </c>
      <c r="E199" s="123" t="s">
        <v>247</v>
      </c>
      <c r="F199" s="126" t="s">
        <v>52</v>
      </c>
      <c r="G199" s="131"/>
      <c r="H199" s="122" t="s">
        <v>258</v>
      </c>
      <c r="I199" s="123" t="s">
        <v>213</v>
      </c>
      <c r="J199" s="212"/>
      <c r="K199" s="212"/>
      <c r="L199" s="212"/>
      <c r="M199" s="213"/>
      <c r="N199" s="213"/>
      <c r="O199" s="214"/>
      <c r="P199" s="106" t="b">
        <f t="shared" si="8"/>
        <v>0</v>
      </c>
    </row>
    <row r="200" spans="1:16" x14ac:dyDescent="0.3">
      <c r="A200" s="124">
        <v>6</v>
      </c>
      <c r="B200" s="37" t="s">
        <v>210</v>
      </c>
      <c r="C200" s="38">
        <v>37</v>
      </c>
      <c r="D200" s="125" t="s">
        <v>202</v>
      </c>
      <c r="E200" s="123" t="s">
        <v>248</v>
      </c>
      <c r="F200" s="126" t="s">
        <v>52</v>
      </c>
      <c r="G200" s="131"/>
      <c r="H200" s="122" t="s">
        <v>258</v>
      </c>
      <c r="I200" s="123" t="s">
        <v>213</v>
      </c>
      <c r="J200" s="212" t="s">
        <v>1383</v>
      </c>
      <c r="K200" s="212"/>
      <c r="L200" s="212"/>
      <c r="M200" s="213"/>
      <c r="N200" s="213"/>
      <c r="O200" s="214"/>
      <c r="P200" s="106" t="b">
        <f t="shared" si="8"/>
        <v>1</v>
      </c>
    </row>
    <row r="201" spans="1:16" x14ac:dyDescent="0.3">
      <c r="A201" s="124">
        <v>6</v>
      </c>
      <c r="B201" s="37" t="s">
        <v>210</v>
      </c>
      <c r="C201" s="38">
        <v>38</v>
      </c>
      <c r="D201" s="125" t="s">
        <v>203</v>
      </c>
      <c r="E201" s="123" t="s">
        <v>249</v>
      </c>
      <c r="F201" s="126" t="s">
        <v>52</v>
      </c>
      <c r="G201" s="131"/>
      <c r="H201" s="122" t="s">
        <v>258</v>
      </c>
      <c r="I201" s="123" t="s">
        <v>213</v>
      </c>
      <c r="J201" s="212" t="s">
        <v>1383</v>
      </c>
      <c r="K201" s="212"/>
      <c r="L201" s="212"/>
      <c r="M201" s="213"/>
      <c r="N201" s="213"/>
      <c r="O201" s="214"/>
      <c r="P201" s="106" t="b">
        <f t="shared" si="8"/>
        <v>1</v>
      </c>
    </row>
    <row r="202" spans="1:16" x14ac:dyDescent="0.3">
      <c r="A202" s="124">
        <v>6</v>
      </c>
      <c r="B202" s="37" t="s">
        <v>210</v>
      </c>
      <c r="C202" s="38">
        <v>39</v>
      </c>
      <c r="D202" s="125" t="s">
        <v>204</v>
      </c>
      <c r="E202" s="123" t="s">
        <v>250</v>
      </c>
      <c r="F202" s="126" t="s">
        <v>52</v>
      </c>
      <c r="G202" s="131"/>
      <c r="H202" s="122" t="s">
        <v>170</v>
      </c>
      <c r="I202" s="123" t="s">
        <v>265</v>
      </c>
      <c r="J202" s="212"/>
      <c r="K202" s="212"/>
      <c r="L202" s="212"/>
      <c r="M202" s="213"/>
      <c r="N202" s="213"/>
      <c r="O202" s="214"/>
      <c r="P202" s="106" t="b">
        <f t="shared" si="8"/>
        <v>0</v>
      </c>
    </row>
    <row r="203" spans="1:16" x14ac:dyDescent="0.3">
      <c r="A203" s="124">
        <v>6</v>
      </c>
      <c r="B203" s="37" t="s">
        <v>210</v>
      </c>
      <c r="C203" s="38">
        <v>40</v>
      </c>
      <c r="D203" s="125" t="s">
        <v>205</v>
      </c>
      <c r="E203" s="123" t="s">
        <v>251</v>
      </c>
      <c r="F203" s="126" t="s">
        <v>52</v>
      </c>
      <c r="G203" s="131"/>
      <c r="H203" s="122" t="s">
        <v>258</v>
      </c>
      <c r="I203" s="123" t="s">
        <v>213</v>
      </c>
      <c r="J203" s="212"/>
      <c r="K203" s="212"/>
      <c r="L203" s="212"/>
      <c r="M203" s="213"/>
      <c r="N203" s="213"/>
      <c r="O203" s="214"/>
      <c r="P203" s="106" t="b">
        <f t="shared" si="8"/>
        <v>0</v>
      </c>
    </row>
    <row r="204" spans="1:16" x14ac:dyDescent="0.3">
      <c r="A204" s="124">
        <v>6</v>
      </c>
      <c r="B204" s="37" t="s">
        <v>210</v>
      </c>
      <c r="C204" s="38">
        <v>41</v>
      </c>
      <c r="D204" s="125" t="s">
        <v>206</v>
      </c>
      <c r="E204" s="123" t="s">
        <v>252</v>
      </c>
      <c r="F204" s="126" t="s">
        <v>52</v>
      </c>
      <c r="G204" s="131"/>
      <c r="H204" s="122" t="s">
        <v>258</v>
      </c>
      <c r="I204" s="123" t="s">
        <v>213</v>
      </c>
      <c r="J204" s="212" t="s">
        <v>1383</v>
      </c>
      <c r="K204" s="212"/>
      <c r="L204" s="212"/>
      <c r="M204" s="213"/>
      <c r="N204" s="213"/>
      <c r="O204" s="214"/>
      <c r="P204" s="106" t="b">
        <f t="shared" si="8"/>
        <v>1</v>
      </c>
    </row>
    <row r="205" spans="1:16" x14ac:dyDescent="0.3">
      <c r="A205" s="124">
        <v>6</v>
      </c>
      <c r="B205" s="37" t="s">
        <v>210</v>
      </c>
      <c r="C205" s="38">
        <v>42</v>
      </c>
      <c r="D205" s="125" t="s">
        <v>207</v>
      </c>
      <c r="E205" s="123" t="s">
        <v>253</v>
      </c>
      <c r="F205" s="131"/>
      <c r="G205" s="128" t="s">
        <v>53</v>
      </c>
      <c r="H205" s="154" t="s">
        <v>258</v>
      </c>
      <c r="I205" s="155" t="s">
        <v>213</v>
      </c>
      <c r="J205" s="212"/>
      <c r="K205" s="212"/>
      <c r="L205" s="212"/>
      <c r="M205" s="213"/>
      <c r="N205" s="213"/>
      <c r="O205" s="214"/>
      <c r="P205" s="106" t="b">
        <f t="shared" si="8"/>
        <v>0</v>
      </c>
    </row>
    <row r="206" spans="1:16" x14ac:dyDescent="0.3">
      <c r="A206" s="124">
        <v>6</v>
      </c>
      <c r="B206" s="37" t="s">
        <v>210</v>
      </c>
      <c r="C206" s="38">
        <v>43</v>
      </c>
      <c r="D206" s="125" t="s">
        <v>208</v>
      </c>
      <c r="E206" s="123" t="s">
        <v>254</v>
      </c>
      <c r="F206" s="126" t="s">
        <v>52</v>
      </c>
      <c r="G206" s="131"/>
      <c r="H206" s="122" t="s">
        <v>170</v>
      </c>
      <c r="I206" s="123" t="s">
        <v>265</v>
      </c>
      <c r="J206" s="212"/>
      <c r="K206" s="212"/>
      <c r="L206" s="212"/>
      <c r="M206" s="213"/>
      <c r="N206" s="213"/>
      <c r="O206" s="214"/>
      <c r="P206" s="106" t="b">
        <f t="shared" si="8"/>
        <v>0</v>
      </c>
    </row>
    <row r="207" spans="1:16" ht="19.5" thickBot="1" x14ac:dyDescent="0.35">
      <c r="A207" s="161">
        <v>6</v>
      </c>
      <c r="B207" s="47" t="s">
        <v>210</v>
      </c>
      <c r="C207" s="48">
        <v>44</v>
      </c>
      <c r="D207" s="166" t="s">
        <v>209</v>
      </c>
      <c r="E207" s="148" t="s">
        <v>255</v>
      </c>
      <c r="F207" s="162" t="s">
        <v>52</v>
      </c>
      <c r="G207" s="167"/>
      <c r="H207" s="147" t="s">
        <v>170</v>
      </c>
      <c r="I207" s="148" t="s">
        <v>265</v>
      </c>
      <c r="J207" s="212" t="s">
        <v>1383</v>
      </c>
      <c r="K207" s="215"/>
      <c r="L207" s="215"/>
      <c r="M207" s="216"/>
      <c r="N207" s="216"/>
      <c r="O207" s="217"/>
      <c r="P207" s="106" t="b">
        <f t="shared" si="8"/>
        <v>1</v>
      </c>
    </row>
    <row r="208" spans="1:16" ht="19.5" hidden="1" thickBot="1" x14ac:dyDescent="0.3">
      <c r="A208" s="137">
        <v>6</v>
      </c>
      <c r="B208" s="138" t="s">
        <v>210</v>
      </c>
      <c r="C208" s="15">
        <f>COUNTA(C164:C207)</f>
        <v>44</v>
      </c>
      <c r="D208" s="139" t="s">
        <v>1</v>
      </c>
      <c r="E208" s="139" t="s">
        <v>1374</v>
      </c>
      <c r="F208" s="15">
        <f>COUNTA(F164:F207)</f>
        <v>32</v>
      </c>
      <c r="G208" s="15">
        <f>COUNTA(G164:G207)</f>
        <v>12</v>
      </c>
      <c r="H208" s="304" t="s">
        <v>3</v>
      </c>
      <c r="I208" s="305"/>
      <c r="J208" s="107">
        <f>COUNTA(J164:J207)</f>
        <v>15</v>
      </c>
      <c r="K208" s="107">
        <f t="shared" ref="K208:O208" si="9">COUNTA(K164:K207)</f>
        <v>0</v>
      </c>
      <c r="L208" s="107">
        <f t="shared" si="9"/>
        <v>0</v>
      </c>
      <c r="M208" s="107">
        <f t="shared" si="9"/>
        <v>0</v>
      </c>
      <c r="N208" s="107">
        <f t="shared" si="9"/>
        <v>0</v>
      </c>
      <c r="O208" s="108">
        <f t="shared" si="9"/>
        <v>0</v>
      </c>
      <c r="P208" s="108">
        <f>COUNTIF(P164:P207,TRUE)</f>
        <v>15</v>
      </c>
    </row>
    <row r="209" spans="1:16" x14ac:dyDescent="0.3">
      <c r="A209" s="119">
        <v>7</v>
      </c>
      <c r="B209" s="41" t="s">
        <v>433</v>
      </c>
      <c r="C209" s="44">
        <v>1</v>
      </c>
      <c r="D209" s="150" t="s">
        <v>418</v>
      </c>
      <c r="E209" s="153" t="s">
        <v>434</v>
      </c>
      <c r="F209" s="168"/>
      <c r="G209" s="169" t="s">
        <v>53</v>
      </c>
      <c r="H209" s="170" t="s">
        <v>453</v>
      </c>
      <c r="I209" s="171" t="s">
        <v>452</v>
      </c>
      <c r="J209" s="218"/>
      <c r="K209" s="218"/>
      <c r="L209" s="218"/>
      <c r="M209" s="219"/>
      <c r="N209" s="219"/>
      <c r="O209" s="220"/>
      <c r="P209" s="106" t="b">
        <f t="shared" si="8"/>
        <v>0</v>
      </c>
    </row>
    <row r="210" spans="1:16" x14ac:dyDescent="0.3">
      <c r="A210" s="124">
        <v>7</v>
      </c>
      <c r="B210" s="37" t="s">
        <v>433</v>
      </c>
      <c r="C210" s="38">
        <v>2</v>
      </c>
      <c r="D210" s="125" t="s">
        <v>419</v>
      </c>
      <c r="E210" s="123" t="s">
        <v>435</v>
      </c>
      <c r="F210" s="126" t="s">
        <v>52</v>
      </c>
      <c r="G210" s="131"/>
      <c r="H210" s="142" t="s">
        <v>453</v>
      </c>
      <c r="I210" s="144" t="s">
        <v>452</v>
      </c>
      <c r="J210" s="212" t="s">
        <v>1383</v>
      </c>
      <c r="K210" s="212"/>
      <c r="L210" s="212"/>
      <c r="M210" s="213"/>
      <c r="N210" s="213"/>
      <c r="O210" s="214"/>
      <c r="P210" s="106" t="b">
        <f t="shared" si="8"/>
        <v>1</v>
      </c>
    </row>
    <row r="211" spans="1:16" x14ac:dyDescent="0.3">
      <c r="A211" s="124">
        <v>7</v>
      </c>
      <c r="B211" s="37" t="s">
        <v>433</v>
      </c>
      <c r="C211" s="38">
        <v>3</v>
      </c>
      <c r="D211" s="125" t="s">
        <v>420</v>
      </c>
      <c r="E211" s="123" t="s">
        <v>436</v>
      </c>
      <c r="F211" s="126" t="s">
        <v>52</v>
      </c>
      <c r="G211" s="131"/>
      <c r="H211" s="142" t="s">
        <v>453</v>
      </c>
      <c r="I211" s="144" t="s">
        <v>452</v>
      </c>
      <c r="J211" s="212" t="s">
        <v>1383</v>
      </c>
      <c r="K211" s="212"/>
      <c r="L211" s="212" t="s">
        <v>1383</v>
      </c>
      <c r="M211" s="213"/>
      <c r="N211" s="213"/>
      <c r="O211" s="214"/>
      <c r="P211" s="106" t="b">
        <f t="shared" si="8"/>
        <v>1</v>
      </c>
    </row>
    <row r="212" spans="1:16" x14ac:dyDescent="0.3">
      <c r="A212" s="124">
        <v>7</v>
      </c>
      <c r="B212" s="37" t="s">
        <v>433</v>
      </c>
      <c r="C212" s="38">
        <v>4</v>
      </c>
      <c r="D212" s="125" t="s">
        <v>421</v>
      </c>
      <c r="E212" s="123" t="s">
        <v>437</v>
      </c>
      <c r="F212" s="126" t="s">
        <v>52</v>
      </c>
      <c r="G212" s="131"/>
      <c r="H212" s="142" t="s">
        <v>453</v>
      </c>
      <c r="I212" s="144" t="s">
        <v>452</v>
      </c>
      <c r="J212" s="212" t="s">
        <v>1383</v>
      </c>
      <c r="K212" s="212"/>
      <c r="L212" s="212"/>
      <c r="M212" s="213"/>
      <c r="N212" s="212" t="s">
        <v>1383</v>
      </c>
      <c r="O212" s="214"/>
      <c r="P212" s="106" t="b">
        <f t="shared" si="8"/>
        <v>1</v>
      </c>
    </row>
    <row r="213" spans="1:16" x14ac:dyDescent="0.3">
      <c r="A213" s="124">
        <v>7</v>
      </c>
      <c r="B213" s="37" t="s">
        <v>433</v>
      </c>
      <c r="C213" s="38">
        <v>5</v>
      </c>
      <c r="D213" s="125" t="s">
        <v>422</v>
      </c>
      <c r="E213" s="123" t="s">
        <v>438</v>
      </c>
      <c r="F213" s="126" t="s">
        <v>52</v>
      </c>
      <c r="G213" s="131"/>
      <c r="H213" s="122" t="s">
        <v>344</v>
      </c>
      <c r="I213" s="123" t="s">
        <v>345</v>
      </c>
      <c r="J213" s="212" t="s">
        <v>1383</v>
      </c>
      <c r="K213" s="212"/>
      <c r="L213" s="212" t="s">
        <v>1383</v>
      </c>
      <c r="M213" s="213"/>
      <c r="N213" s="213"/>
      <c r="O213" s="214"/>
      <c r="P213" s="106" t="b">
        <f t="shared" si="8"/>
        <v>1</v>
      </c>
    </row>
    <row r="214" spans="1:16" x14ac:dyDescent="0.3">
      <c r="A214" s="124">
        <v>7</v>
      </c>
      <c r="B214" s="37" t="s">
        <v>433</v>
      </c>
      <c r="C214" s="38">
        <v>6</v>
      </c>
      <c r="D214" s="125" t="s">
        <v>423</v>
      </c>
      <c r="E214" s="123" t="s">
        <v>439</v>
      </c>
      <c r="F214" s="126" t="s">
        <v>52</v>
      </c>
      <c r="G214" s="131"/>
      <c r="H214" s="142" t="s">
        <v>453</v>
      </c>
      <c r="I214" s="144" t="s">
        <v>452</v>
      </c>
      <c r="J214" s="212" t="s">
        <v>1383</v>
      </c>
      <c r="K214" s="212"/>
      <c r="L214" s="212"/>
      <c r="M214" s="213"/>
      <c r="N214" s="213"/>
      <c r="O214" s="214" t="s">
        <v>1383</v>
      </c>
      <c r="P214" s="106" t="b">
        <f t="shared" si="8"/>
        <v>1</v>
      </c>
    </row>
    <row r="215" spans="1:16" x14ac:dyDescent="0.3">
      <c r="A215" s="124">
        <v>7</v>
      </c>
      <c r="B215" s="37" t="s">
        <v>433</v>
      </c>
      <c r="C215" s="38">
        <v>7</v>
      </c>
      <c r="D215" s="125" t="s">
        <v>424</v>
      </c>
      <c r="E215" s="123" t="s">
        <v>440</v>
      </c>
      <c r="F215" s="131"/>
      <c r="G215" s="128" t="s">
        <v>53</v>
      </c>
      <c r="H215" s="172" t="s">
        <v>453</v>
      </c>
      <c r="I215" s="173" t="s">
        <v>452</v>
      </c>
      <c r="J215" s="212"/>
      <c r="K215" s="212"/>
      <c r="L215" s="212"/>
      <c r="M215" s="213"/>
      <c r="N215" s="213"/>
      <c r="O215" s="214"/>
      <c r="P215" s="106" t="b">
        <f t="shared" si="8"/>
        <v>0</v>
      </c>
    </row>
    <row r="216" spans="1:16" x14ac:dyDescent="0.3">
      <c r="A216" s="124">
        <v>7</v>
      </c>
      <c r="B216" s="37" t="s">
        <v>433</v>
      </c>
      <c r="C216" s="38">
        <v>8</v>
      </c>
      <c r="D216" s="125" t="s">
        <v>67</v>
      </c>
      <c r="E216" s="123" t="s">
        <v>441</v>
      </c>
      <c r="F216" s="126" t="s">
        <v>52</v>
      </c>
      <c r="G216" s="131"/>
      <c r="H216" s="122" t="s">
        <v>344</v>
      </c>
      <c r="I216" s="123" t="s">
        <v>345</v>
      </c>
      <c r="J216" s="212" t="s">
        <v>1383</v>
      </c>
      <c r="K216" s="212"/>
      <c r="L216" s="212"/>
      <c r="M216" s="213"/>
      <c r="N216" s="213"/>
      <c r="O216" s="214"/>
      <c r="P216" s="106" t="b">
        <f t="shared" si="8"/>
        <v>1</v>
      </c>
    </row>
    <row r="217" spans="1:16" x14ac:dyDescent="0.3">
      <c r="A217" s="124">
        <v>7</v>
      </c>
      <c r="B217" s="37" t="s">
        <v>433</v>
      </c>
      <c r="C217" s="38">
        <v>9</v>
      </c>
      <c r="D217" s="125" t="s">
        <v>425</v>
      </c>
      <c r="E217" s="123" t="s">
        <v>442</v>
      </c>
      <c r="F217" s="126" t="s">
        <v>52</v>
      </c>
      <c r="G217" s="131"/>
      <c r="H217" s="122" t="s">
        <v>413</v>
      </c>
      <c r="I217" s="123" t="s">
        <v>412</v>
      </c>
      <c r="J217" s="212" t="s">
        <v>1383</v>
      </c>
      <c r="K217" s="212"/>
      <c r="L217" s="212" t="s">
        <v>1383</v>
      </c>
      <c r="M217" s="213"/>
      <c r="N217" s="213"/>
      <c r="O217" s="214"/>
      <c r="P217" s="106" t="b">
        <f t="shared" si="8"/>
        <v>1</v>
      </c>
    </row>
    <row r="218" spans="1:16" x14ac:dyDescent="0.3">
      <c r="A218" s="124">
        <v>7</v>
      </c>
      <c r="B218" s="37" t="s">
        <v>433</v>
      </c>
      <c r="C218" s="38">
        <v>10</v>
      </c>
      <c r="D218" s="125" t="s">
        <v>426</v>
      </c>
      <c r="E218" s="123" t="s">
        <v>443</v>
      </c>
      <c r="F218" s="131"/>
      <c r="G218" s="128" t="s">
        <v>53</v>
      </c>
      <c r="H218" s="172" t="s">
        <v>453</v>
      </c>
      <c r="I218" s="173" t="s">
        <v>452</v>
      </c>
      <c r="J218" s="212"/>
      <c r="K218" s="212"/>
      <c r="L218" s="212"/>
      <c r="M218" s="213"/>
      <c r="N218" s="213"/>
      <c r="O218" s="214"/>
      <c r="P218" s="106" t="b">
        <f t="shared" si="8"/>
        <v>0</v>
      </c>
    </row>
    <row r="219" spans="1:16" x14ac:dyDescent="0.3">
      <c r="A219" s="124">
        <v>7</v>
      </c>
      <c r="B219" s="37" t="s">
        <v>433</v>
      </c>
      <c r="C219" s="38">
        <v>11</v>
      </c>
      <c r="D219" s="125" t="s">
        <v>427</v>
      </c>
      <c r="E219" s="123" t="s">
        <v>444</v>
      </c>
      <c r="F219" s="131"/>
      <c r="G219" s="128" t="s">
        <v>53</v>
      </c>
      <c r="H219" s="172" t="s">
        <v>453</v>
      </c>
      <c r="I219" s="173" t="s">
        <v>452</v>
      </c>
      <c r="J219" s="212"/>
      <c r="K219" s="212"/>
      <c r="L219" s="212"/>
      <c r="M219" s="213"/>
      <c r="N219" s="213"/>
      <c r="O219" s="214"/>
      <c r="P219" s="106" t="b">
        <f t="shared" si="8"/>
        <v>0</v>
      </c>
    </row>
    <row r="220" spans="1:16" x14ac:dyDescent="0.3">
      <c r="A220" s="124">
        <v>7</v>
      </c>
      <c r="B220" s="37" t="s">
        <v>433</v>
      </c>
      <c r="C220" s="38">
        <v>12</v>
      </c>
      <c r="D220" s="125" t="s">
        <v>428</v>
      </c>
      <c r="E220" s="123" t="s">
        <v>445</v>
      </c>
      <c r="F220" s="126" t="s">
        <v>52</v>
      </c>
      <c r="G220" s="131"/>
      <c r="H220" s="122" t="s">
        <v>344</v>
      </c>
      <c r="I220" s="123" t="s">
        <v>345</v>
      </c>
      <c r="J220" s="212" t="s">
        <v>1383</v>
      </c>
      <c r="K220" s="212"/>
      <c r="L220" s="212"/>
      <c r="M220" s="213"/>
      <c r="N220" s="213"/>
      <c r="O220" s="214"/>
      <c r="P220" s="106" t="b">
        <f t="shared" si="8"/>
        <v>1</v>
      </c>
    </row>
    <row r="221" spans="1:16" x14ac:dyDescent="0.3">
      <c r="A221" s="124">
        <v>7</v>
      </c>
      <c r="B221" s="37" t="s">
        <v>433</v>
      </c>
      <c r="C221" s="38">
        <v>13</v>
      </c>
      <c r="D221" s="125" t="s">
        <v>429</v>
      </c>
      <c r="E221" s="123" t="s">
        <v>446</v>
      </c>
      <c r="F221" s="126" t="s">
        <v>52</v>
      </c>
      <c r="G221" s="131"/>
      <c r="H221" s="122" t="s">
        <v>344</v>
      </c>
      <c r="I221" s="123" t="s">
        <v>345</v>
      </c>
      <c r="J221" s="212" t="s">
        <v>1383</v>
      </c>
      <c r="K221" s="212"/>
      <c r="L221" s="212"/>
      <c r="M221" s="213"/>
      <c r="N221" s="213"/>
      <c r="O221" s="214"/>
      <c r="P221" s="106" t="b">
        <f t="shared" si="8"/>
        <v>1</v>
      </c>
    </row>
    <row r="222" spans="1:16" x14ac:dyDescent="0.3">
      <c r="A222" s="124">
        <v>7</v>
      </c>
      <c r="B222" s="37" t="s">
        <v>433</v>
      </c>
      <c r="C222" s="38">
        <v>14</v>
      </c>
      <c r="D222" s="125" t="s">
        <v>43</v>
      </c>
      <c r="E222" s="123" t="s">
        <v>447</v>
      </c>
      <c r="F222" s="126" t="s">
        <v>52</v>
      </c>
      <c r="G222" s="131"/>
      <c r="H222" s="122" t="s">
        <v>413</v>
      </c>
      <c r="I222" s="123" t="s">
        <v>412</v>
      </c>
      <c r="J222" s="212" t="s">
        <v>1383</v>
      </c>
      <c r="K222" s="212"/>
      <c r="L222" s="212"/>
      <c r="M222" s="213"/>
      <c r="N222" s="212" t="s">
        <v>1383</v>
      </c>
      <c r="O222" s="214"/>
      <c r="P222" s="106" t="b">
        <f t="shared" si="8"/>
        <v>1</v>
      </c>
    </row>
    <row r="223" spans="1:16" x14ac:dyDescent="0.3">
      <c r="A223" s="124">
        <v>7</v>
      </c>
      <c r="B223" s="37" t="s">
        <v>433</v>
      </c>
      <c r="C223" s="38">
        <v>15</v>
      </c>
      <c r="D223" s="125" t="s">
        <v>430</v>
      </c>
      <c r="E223" s="123" t="s">
        <v>448</v>
      </c>
      <c r="F223" s="126" t="s">
        <v>52</v>
      </c>
      <c r="G223" s="131"/>
      <c r="H223" s="122" t="s">
        <v>413</v>
      </c>
      <c r="I223" s="123" t="s">
        <v>412</v>
      </c>
      <c r="J223" s="212" t="s">
        <v>1383</v>
      </c>
      <c r="K223" s="212"/>
      <c r="L223" s="212"/>
      <c r="M223" s="213"/>
      <c r="N223" s="213"/>
      <c r="O223" s="214"/>
      <c r="P223" s="106" t="b">
        <f t="shared" si="8"/>
        <v>1</v>
      </c>
    </row>
    <row r="224" spans="1:16" x14ac:dyDescent="0.3">
      <c r="A224" s="124">
        <v>7</v>
      </c>
      <c r="B224" s="37" t="s">
        <v>433</v>
      </c>
      <c r="C224" s="38">
        <v>16</v>
      </c>
      <c r="D224" s="125" t="s">
        <v>431</v>
      </c>
      <c r="E224" s="123" t="s">
        <v>449</v>
      </c>
      <c r="F224" s="126" t="s">
        <v>52</v>
      </c>
      <c r="G224" s="131"/>
      <c r="H224" s="142" t="s">
        <v>453</v>
      </c>
      <c r="I224" s="144" t="s">
        <v>452</v>
      </c>
      <c r="J224" s="212" t="s">
        <v>1383</v>
      </c>
      <c r="K224" s="212"/>
      <c r="L224" s="212"/>
      <c r="M224" s="213"/>
      <c r="N224" s="213"/>
      <c r="O224" s="214"/>
      <c r="P224" s="106" t="b">
        <f t="shared" si="8"/>
        <v>1</v>
      </c>
    </row>
    <row r="225" spans="1:16" ht="19.5" thickBot="1" x14ac:dyDescent="0.35">
      <c r="A225" s="132">
        <v>7</v>
      </c>
      <c r="B225" s="39" t="s">
        <v>433</v>
      </c>
      <c r="C225" s="45">
        <v>17</v>
      </c>
      <c r="D225" s="133" t="s">
        <v>432</v>
      </c>
      <c r="E225" s="159" t="s">
        <v>450</v>
      </c>
      <c r="F225" s="157" t="s">
        <v>52</v>
      </c>
      <c r="G225" s="174"/>
      <c r="H225" s="158" t="s">
        <v>413</v>
      </c>
      <c r="I225" s="159" t="s">
        <v>412</v>
      </c>
      <c r="J225" s="221" t="s">
        <v>1383</v>
      </c>
      <c r="K225" s="221"/>
      <c r="L225" s="221"/>
      <c r="M225" s="222"/>
      <c r="N225" s="222"/>
      <c r="O225" s="223"/>
      <c r="P225" s="106" t="b">
        <f t="shared" si="8"/>
        <v>1</v>
      </c>
    </row>
    <row r="226" spans="1:16" ht="19.5" hidden="1" thickBot="1" x14ac:dyDescent="0.3">
      <c r="A226" s="137">
        <v>7</v>
      </c>
      <c r="B226" s="138" t="s">
        <v>433</v>
      </c>
      <c r="C226" s="15">
        <f>COUNTA(C209:C225)</f>
        <v>17</v>
      </c>
      <c r="D226" s="139" t="s">
        <v>1</v>
      </c>
      <c r="E226" s="139" t="s">
        <v>1374</v>
      </c>
      <c r="F226" s="15">
        <f>COUNTA(F209:F225)</f>
        <v>13</v>
      </c>
      <c r="G226" s="15">
        <f>COUNTA(G209:G225)</f>
        <v>4</v>
      </c>
      <c r="H226" s="304" t="s">
        <v>3</v>
      </c>
      <c r="I226" s="305"/>
      <c r="J226" s="107">
        <f>COUNTA(J209:J225)</f>
        <v>13</v>
      </c>
      <c r="K226" s="107">
        <f t="shared" ref="K226:O226" si="10">COUNTA(K209:K225)</f>
        <v>0</v>
      </c>
      <c r="L226" s="107">
        <f t="shared" si="10"/>
        <v>3</v>
      </c>
      <c r="M226" s="107">
        <f>COUNTA(M209:M225)</f>
        <v>0</v>
      </c>
      <c r="N226" s="107">
        <f t="shared" si="10"/>
        <v>2</v>
      </c>
      <c r="O226" s="108">
        <f t="shared" si="10"/>
        <v>1</v>
      </c>
      <c r="P226" s="108">
        <f>COUNTIF(P209:P225,TRUE)</f>
        <v>13</v>
      </c>
    </row>
    <row r="227" spans="1:16" x14ac:dyDescent="0.3">
      <c r="A227" s="140">
        <v>8</v>
      </c>
      <c r="B227" s="37" t="s">
        <v>468</v>
      </c>
      <c r="C227" s="46">
        <v>1</v>
      </c>
      <c r="D227" s="166" t="s">
        <v>454</v>
      </c>
      <c r="E227" s="144" t="s">
        <v>469</v>
      </c>
      <c r="F227" s="126" t="s">
        <v>52</v>
      </c>
      <c r="G227" s="165"/>
      <c r="H227" s="122" t="s">
        <v>170</v>
      </c>
      <c r="I227" s="123" t="s">
        <v>265</v>
      </c>
      <c r="J227" s="209"/>
      <c r="K227" s="209"/>
      <c r="L227" s="209"/>
      <c r="M227" s="210"/>
      <c r="N227" s="210"/>
      <c r="O227" s="211"/>
      <c r="P227" s="106" t="b">
        <f t="shared" si="8"/>
        <v>0</v>
      </c>
    </row>
    <row r="228" spans="1:16" x14ac:dyDescent="0.3">
      <c r="A228" s="124">
        <v>8</v>
      </c>
      <c r="B228" s="37" t="s">
        <v>468</v>
      </c>
      <c r="C228" s="38">
        <v>2</v>
      </c>
      <c r="D228" s="125" t="s">
        <v>455</v>
      </c>
      <c r="E228" s="123" t="s">
        <v>470</v>
      </c>
      <c r="F228" s="126" t="s">
        <v>52</v>
      </c>
      <c r="G228" s="131"/>
      <c r="H228" s="122" t="s">
        <v>264</v>
      </c>
      <c r="I228" s="123" t="s">
        <v>263</v>
      </c>
      <c r="J228" s="212"/>
      <c r="K228" s="212"/>
      <c r="L228" s="212"/>
      <c r="M228" s="213"/>
      <c r="N228" s="213"/>
      <c r="O228" s="214"/>
      <c r="P228" s="106" t="b">
        <f t="shared" si="8"/>
        <v>0</v>
      </c>
    </row>
    <row r="229" spans="1:16" x14ac:dyDescent="0.3">
      <c r="A229" s="124">
        <v>8</v>
      </c>
      <c r="B229" s="37" t="s">
        <v>468</v>
      </c>
      <c r="C229" s="38">
        <v>3</v>
      </c>
      <c r="D229" s="125" t="s">
        <v>456</v>
      </c>
      <c r="E229" s="123" t="s">
        <v>471</v>
      </c>
      <c r="F229" s="131"/>
      <c r="G229" s="128" t="s">
        <v>53</v>
      </c>
      <c r="H229" s="154" t="s">
        <v>483</v>
      </c>
      <c r="I229" s="155" t="s">
        <v>472</v>
      </c>
      <c r="J229" s="212"/>
      <c r="K229" s="212"/>
      <c r="L229" s="212"/>
      <c r="M229" s="213"/>
      <c r="N229" s="213"/>
      <c r="O229" s="214"/>
      <c r="P229" s="106" t="b">
        <f t="shared" si="8"/>
        <v>0</v>
      </c>
    </row>
    <row r="230" spans="1:16" x14ac:dyDescent="0.3">
      <c r="A230" s="124">
        <v>8</v>
      </c>
      <c r="B230" s="37" t="s">
        <v>468</v>
      </c>
      <c r="C230" s="38">
        <v>4</v>
      </c>
      <c r="D230" s="125" t="s">
        <v>457</v>
      </c>
      <c r="E230" s="123" t="s">
        <v>472</v>
      </c>
      <c r="F230" s="126" t="s">
        <v>52</v>
      </c>
      <c r="G230" s="131"/>
      <c r="H230" s="122" t="s">
        <v>264</v>
      </c>
      <c r="I230" s="123" t="s">
        <v>263</v>
      </c>
      <c r="J230" s="212" t="s">
        <v>1383</v>
      </c>
      <c r="K230" s="212"/>
      <c r="L230" s="212"/>
      <c r="M230" s="213"/>
      <c r="N230" s="213" t="s">
        <v>1383</v>
      </c>
      <c r="O230" s="214" t="s">
        <v>1383</v>
      </c>
      <c r="P230" s="106" t="b">
        <f t="shared" si="8"/>
        <v>1</v>
      </c>
    </row>
    <row r="231" spans="1:16" x14ac:dyDescent="0.3">
      <c r="A231" s="124">
        <v>8</v>
      </c>
      <c r="B231" s="37" t="s">
        <v>468</v>
      </c>
      <c r="C231" s="38">
        <v>5</v>
      </c>
      <c r="D231" s="125" t="s">
        <v>458</v>
      </c>
      <c r="E231" s="123" t="s">
        <v>473</v>
      </c>
      <c r="F231" s="126" t="s">
        <v>52</v>
      </c>
      <c r="G231" s="131"/>
      <c r="H231" s="122" t="s">
        <v>483</v>
      </c>
      <c r="I231" s="123" t="s">
        <v>472</v>
      </c>
      <c r="J231" s="212" t="s">
        <v>1383</v>
      </c>
      <c r="K231" s="212"/>
      <c r="L231" s="212"/>
      <c r="M231" s="213"/>
      <c r="N231" s="213"/>
      <c r="O231" s="214"/>
      <c r="P231" s="106" t="b">
        <f t="shared" si="8"/>
        <v>1</v>
      </c>
    </row>
    <row r="232" spans="1:16" x14ac:dyDescent="0.3">
      <c r="A232" s="124">
        <v>8</v>
      </c>
      <c r="B232" s="37" t="s">
        <v>468</v>
      </c>
      <c r="C232" s="38">
        <v>6</v>
      </c>
      <c r="D232" s="125" t="s">
        <v>459</v>
      </c>
      <c r="E232" s="123" t="s">
        <v>474</v>
      </c>
      <c r="F232" s="126" t="s">
        <v>52</v>
      </c>
      <c r="G232" s="131"/>
      <c r="H232" s="122" t="s">
        <v>264</v>
      </c>
      <c r="I232" s="123" t="s">
        <v>263</v>
      </c>
      <c r="J232" s="212"/>
      <c r="K232" s="212"/>
      <c r="L232" s="212"/>
      <c r="M232" s="213"/>
      <c r="N232" s="213"/>
      <c r="O232" s="214"/>
      <c r="P232" s="106" t="b">
        <f t="shared" si="8"/>
        <v>0</v>
      </c>
    </row>
    <row r="233" spans="1:16" x14ac:dyDescent="0.3">
      <c r="A233" s="124">
        <v>8</v>
      </c>
      <c r="B233" s="37" t="s">
        <v>468</v>
      </c>
      <c r="C233" s="38">
        <v>7</v>
      </c>
      <c r="D233" s="125" t="s">
        <v>460</v>
      </c>
      <c r="E233" s="123" t="s">
        <v>475</v>
      </c>
      <c r="F233" s="126" t="s">
        <v>52</v>
      </c>
      <c r="G233" s="131"/>
      <c r="H233" s="122" t="s">
        <v>170</v>
      </c>
      <c r="I233" s="123" t="s">
        <v>265</v>
      </c>
      <c r="J233" s="212"/>
      <c r="K233" s="212"/>
      <c r="L233" s="212"/>
      <c r="M233" s="213"/>
      <c r="N233" s="213"/>
      <c r="O233" s="214"/>
      <c r="P233" s="106" t="b">
        <f t="shared" si="8"/>
        <v>0</v>
      </c>
    </row>
    <row r="234" spans="1:16" x14ac:dyDescent="0.3">
      <c r="A234" s="124">
        <v>8</v>
      </c>
      <c r="B234" s="37" t="s">
        <v>468</v>
      </c>
      <c r="C234" s="38">
        <v>8</v>
      </c>
      <c r="D234" s="125" t="s">
        <v>461</v>
      </c>
      <c r="E234" s="123" t="s">
        <v>476</v>
      </c>
      <c r="F234" s="126" t="s">
        <v>52</v>
      </c>
      <c r="G234" s="126"/>
      <c r="H234" s="122" t="s">
        <v>483</v>
      </c>
      <c r="I234" s="123" t="s">
        <v>472</v>
      </c>
      <c r="J234" s="212"/>
      <c r="K234" s="212"/>
      <c r="L234" s="212"/>
      <c r="M234" s="213"/>
      <c r="N234" s="213"/>
      <c r="O234" s="214"/>
      <c r="P234" s="106" t="b">
        <f t="shared" si="8"/>
        <v>0</v>
      </c>
    </row>
    <row r="235" spans="1:16" x14ac:dyDescent="0.3">
      <c r="A235" s="124">
        <v>8</v>
      </c>
      <c r="B235" s="37" t="s">
        <v>468</v>
      </c>
      <c r="C235" s="38">
        <v>9</v>
      </c>
      <c r="D235" s="125" t="s">
        <v>462</v>
      </c>
      <c r="E235" s="123" t="s">
        <v>477</v>
      </c>
      <c r="F235" s="131"/>
      <c r="G235" s="128" t="s">
        <v>53</v>
      </c>
      <c r="H235" s="154" t="s">
        <v>483</v>
      </c>
      <c r="I235" s="155" t="s">
        <v>472</v>
      </c>
      <c r="J235" s="212"/>
      <c r="K235" s="212"/>
      <c r="L235" s="212"/>
      <c r="M235" s="213"/>
      <c r="N235" s="213"/>
      <c r="O235" s="214"/>
      <c r="P235" s="106" t="b">
        <f t="shared" si="8"/>
        <v>0</v>
      </c>
    </row>
    <row r="236" spans="1:16" x14ac:dyDescent="0.3">
      <c r="A236" s="124">
        <v>8</v>
      </c>
      <c r="B236" s="37" t="s">
        <v>468</v>
      </c>
      <c r="C236" s="38">
        <v>10</v>
      </c>
      <c r="D236" s="125" t="s">
        <v>463</v>
      </c>
      <c r="E236" s="123" t="s">
        <v>478</v>
      </c>
      <c r="F236" s="126" t="s">
        <v>52</v>
      </c>
      <c r="G236" s="131"/>
      <c r="H236" s="122" t="s">
        <v>483</v>
      </c>
      <c r="I236" s="123" t="s">
        <v>472</v>
      </c>
      <c r="J236" s="212"/>
      <c r="K236" s="212"/>
      <c r="L236" s="212"/>
      <c r="M236" s="213"/>
      <c r="N236" s="213"/>
      <c r="O236" s="214"/>
      <c r="P236" s="106" t="b">
        <f t="shared" si="8"/>
        <v>0</v>
      </c>
    </row>
    <row r="237" spans="1:16" x14ac:dyDescent="0.3">
      <c r="A237" s="124">
        <v>8</v>
      </c>
      <c r="B237" s="37" t="s">
        <v>468</v>
      </c>
      <c r="C237" s="38">
        <v>11</v>
      </c>
      <c r="D237" s="125" t="s">
        <v>464</v>
      </c>
      <c r="E237" s="123" t="s">
        <v>479</v>
      </c>
      <c r="F237" s="126" t="s">
        <v>52</v>
      </c>
      <c r="G237" s="131"/>
      <c r="H237" s="122" t="s">
        <v>170</v>
      </c>
      <c r="I237" s="123" t="s">
        <v>265</v>
      </c>
      <c r="J237" s="212"/>
      <c r="K237" s="212"/>
      <c r="L237" s="212"/>
      <c r="M237" s="213"/>
      <c r="N237" s="213"/>
      <c r="O237" s="214"/>
      <c r="P237" s="106" t="b">
        <f t="shared" si="8"/>
        <v>0</v>
      </c>
    </row>
    <row r="238" spans="1:16" x14ac:dyDescent="0.3">
      <c r="A238" s="124">
        <v>8</v>
      </c>
      <c r="B238" s="37" t="s">
        <v>468</v>
      </c>
      <c r="C238" s="38">
        <v>12</v>
      </c>
      <c r="D238" s="125" t="s">
        <v>465</v>
      </c>
      <c r="E238" s="123" t="s">
        <v>480</v>
      </c>
      <c r="F238" s="126" t="s">
        <v>52</v>
      </c>
      <c r="G238" s="131"/>
      <c r="H238" s="122" t="s">
        <v>170</v>
      </c>
      <c r="I238" s="123" t="s">
        <v>265</v>
      </c>
      <c r="J238" s="212"/>
      <c r="K238" s="212"/>
      <c r="L238" s="212"/>
      <c r="M238" s="213"/>
      <c r="N238" s="213"/>
      <c r="O238" s="214"/>
      <c r="P238" s="106" t="b">
        <f t="shared" si="8"/>
        <v>0</v>
      </c>
    </row>
    <row r="239" spans="1:16" x14ac:dyDescent="0.3">
      <c r="A239" s="124">
        <v>8</v>
      </c>
      <c r="B239" s="37" t="s">
        <v>468</v>
      </c>
      <c r="C239" s="38">
        <v>13</v>
      </c>
      <c r="D239" s="125" t="s">
        <v>466</v>
      </c>
      <c r="E239" s="123" t="s">
        <v>481</v>
      </c>
      <c r="F239" s="131"/>
      <c r="G239" s="128" t="s">
        <v>53</v>
      </c>
      <c r="H239" s="154" t="s">
        <v>483</v>
      </c>
      <c r="I239" s="155" t="s">
        <v>472</v>
      </c>
      <c r="J239" s="212"/>
      <c r="K239" s="212"/>
      <c r="L239" s="212"/>
      <c r="M239" s="213"/>
      <c r="N239" s="213"/>
      <c r="O239" s="214"/>
      <c r="P239" s="106" t="b">
        <f t="shared" si="8"/>
        <v>0</v>
      </c>
    </row>
    <row r="240" spans="1:16" ht="19.5" thickBot="1" x14ac:dyDescent="0.35">
      <c r="A240" s="161">
        <v>8</v>
      </c>
      <c r="B240" s="47" t="s">
        <v>468</v>
      </c>
      <c r="C240" s="48">
        <v>14</v>
      </c>
      <c r="D240" s="17" t="s">
        <v>467</v>
      </c>
      <c r="E240" s="148" t="s">
        <v>482</v>
      </c>
      <c r="F240" s="162" t="s">
        <v>52</v>
      </c>
      <c r="G240" s="167"/>
      <c r="H240" s="122" t="s">
        <v>483</v>
      </c>
      <c r="I240" s="123" t="s">
        <v>472</v>
      </c>
      <c r="J240" s="212" t="s">
        <v>1383</v>
      </c>
      <c r="K240" s="215"/>
      <c r="L240" s="215"/>
      <c r="M240" s="216"/>
      <c r="N240" s="216"/>
      <c r="O240" s="217"/>
      <c r="P240" s="106" t="b">
        <f t="shared" si="8"/>
        <v>1</v>
      </c>
    </row>
    <row r="241" spans="1:16" ht="19.5" hidden="1" thickBot="1" x14ac:dyDescent="0.3">
      <c r="A241" s="137">
        <v>8</v>
      </c>
      <c r="B241" s="138" t="s">
        <v>468</v>
      </c>
      <c r="C241" s="15">
        <f>COUNTA(C227:C240)</f>
        <v>14</v>
      </c>
      <c r="D241" s="139" t="s">
        <v>1</v>
      </c>
      <c r="E241" s="139" t="s">
        <v>1374</v>
      </c>
      <c r="F241" s="15">
        <f>COUNTA(F227:F240)</f>
        <v>11</v>
      </c>
      <c r="G241" s="15">
        <f>COUNTA(G227:G240)</f>
        <v>3</v>
      </c>
      <c r="H241" s="304" t="s">
        <v>3</v>
      </c>
      <c r="I241" s="305"/>
      <c r="J241" s="107">
        <f t="shared" ref="J241:O241" si="11">COUNTA(J227:J240)</f>
        <v>3</v>
      </c>
      <c r="K241" s="107">
        <f t="shared" si="11"/>
        <v>0</v>
      </c>
      <c r="L241" s="107">
        <f t="shared" si="11"/>
        <v>0</v>
      </c>
      <c r="M241" s="107">
        <f t="shared" si="11"/>
        <v>0</v>
      </c>
      <c r="N241" s="107">
        <f t="shared" si="11"/>
        <v>1</v>
      </c>
      <c r="O241" s="108">
        <f t="shared" si="11"/>
        <v>1</v>
      </c>
      <c r="P241" s="108">
        <f>COUNTIF(P227:P240,TRUE)</f>
        <v>3</v>
      </c>
    </row>
    <row r="242" spans="1:16" x14ac:dyDescent="0.3">
      <c r="A242" s="119">
        <v>9</v>
      </c>
      <c r="B242" s="41" t="s">
        <v>499</v>
      </c>
      <c r="C242" s="44">
        <v>1</v>
      </c>
      <c r="D242" s="150" t="s">
        <v>484</v>
      </c>
      <c r="E242" s="153" t="s">
        <v>500</v>
      </c>
      <c r="F242" s="168"/>
      <c r="G242" s="169" t="s">
        <v>53</v>
      </c>
      <c r="H242" s="170" t="s">
        <v>520</v>
      </c>
      <c r="I242" s="171" t="s">
        <v>526</v>
      </c>
      <c r="J242" s="218"/>
      <c r="K242" s="218"/>
      <c r="L242" s="218"/>
      <c r="M242" s="219"/>
      <c r="N242" s="219"/>
      <c r="O242" s="220"/>
      <c r="P242" s="106" t="b">
        <f t="shared" si="8"/>
        <v>0</v>
      </c>
    </row>
    <row r="243" spans="1:16" x14ac:dyDescent="0.3">
      <c r="A243" s="124">
        <v>9</v>
      </c>
      <c r="B243" s="37" t="s">
        <v>499</v>
      </c>
      <c r="C243" s="38">
        <v>2</v>
      </c>
      <c r="D243" s="125" t="s">
        <v>485</v>
      </c>
      <c r="E243" s="123" t="s">
        <v>501</v>
      </c>
      <c r="F243" s="131"/>
      <c r="G243" s="128" t="s">
        <v>53</v>
      </c>
      <c r="H243" s="154" t="s">
        <v>519</v>
      </c>
      <c r="I243" s="155" t="s">
        <v>524</v>
      </c>
      <c r="J243" s="212"/>
      <c r="K243" s="212"/>
      <c r="L243" s="212"/>
      <c r="M243" s="213"/>
      <c r="N243" s="213"/>
      <c r="O243" s="214"/>
      <c r="P243" s="106" t="b">
        <f t="shared" si="8"/>
        <v>0</v>
      </c>
    </row>
    <row r="244" spans="1:16" x14ac:dyDescent="0.3">
      <c r="A244" s="124">
        <v>9</v>
      </c>
      <c r="B244" s="37" t="s">
        <v>499</v>
      </c>
      <c r="C244" s="38">
        <v>3</v>
      </c>
      <c r="D244" s="125" t="s">
        <v>486</v>
      </c>
      <c r="E244" s="123" t="s">
        <v>502</v>
      </c>
      <c r="F244" s="126" t="s">
        <v>52</v>
      </c>
      <c r="G244" s="131"/>
      <c r="H244" s="142" t="s">
        <v>520</v>
      </c>
      <c r="I244" s="123" t="s">
        <v>526</v>
      </c>
      <c r="J244" s="212" t="s">
        <v>1383</v>
      </c>
      <c r="K244" s="212"/>
      <c r="L244" s="212"/>
      <c r="M244" s="213"/>
      <c r="N244" s="213"/>
      <c r="O244" s="214"/>
      <c r="P244" s="106" t="b">
        <f t="shared" si="8"/>
        <v>1</v>
      </c>
    </row>
    <row r="245" spans="1:16" x14ac:dyDescent="0.3">
      <c r="A245" s="124">
        <v>9</v>
      </c>
      <c r="B245" s="37" t="s">
        <v>499</v>
      </c>
      <c r="C245" s="38">
        <v>4</v>
      </c>
      <c r="D245" s="125" t="s">
        <v>487</v>
      </c>
      <c r="E245" s="123" t="s">
        <v>503</v>
      </c>
      <c r="F245" s="126" t="s">
        <v>52</v>
      </c>
      <c r="G245" s="131"/>
      <c r="H245" s="142" t="s">
        <v>520</v>
      </c>
      <c r="I245" s="123" t="s">
        <v>526</v>
      </c>
      <c r="J245" s="212" t="s">
        <v>1383</v>
      </c>
      <c r="K245" s="212"/>
      <c r="L245" s="212"/>
      <c r="M245" s="213"/>
      <c r="N245" s="212" t="s">
        <v>1383</v>
      </c>
      <c r="O245" s="214" t="s">
        <v>1383</v>
      </c>
      <c r="P245" s="106" t="b">
        <f t="shared" si="8"/>
        <v>1</v>
      </c>
    </row>
    <row r="246" spans="1:16" x14ac:dyDescent="0.3">
      <c r="A246" s="124">
        <v>9</v>
      </c>
      <c r="B246" s="37" t="s">
        <v>499</v>
      </c>
      <c r="C246" s="38">
        <v>5</v>
      </c>
      <c r="D246" s="125" t="s">
        <v>488</v>
      </c>
      <c r="E246" s="123" t="s">
        <v>504</v>
      </c>
      <c r="F246" s="126" t="s">
        <v>52</v>
      </c>
      <c r="G246" s="131"/>
      <c r="H246" s="142" t="s">
        <v>520</v>
      </c>
      <c r="I246" s="123" t="s">
        <v>526</v>
      </c>
      <c r="J246" s="212" t="s">
        <v>1383</v>
      </c>
      <c r="K246" s="212"/>
      <c r="L246" s="212"/>
      <c r="M246" s="213"/>
      <c r="N246" s="213"/>
      <c r="O246" s="214"/>
      <c r="P246" s="106" t="b">
        <f t="shared" si="8"/>
        <v>1</v>
      </c>
    </row>
    <row r="247" spans="1:16" x14ac:dyDescent="0.3">
      <c r="A247" s="124">
        <v>9</v>
      </c>
      <c r="B247" s="37" t="s">
        <v>499</v>
      </c>
      <c r="C247" s="38">
        <v>6</v>
      </c>
      <c r="D247" s="125" t="s">
        <v>489</v>
      </c>
      <c r="E247" s="123" t="s">
        <v>505</v>
      </c>
      <c r="F247" s="126" t="s">
        <v>52</v>
      </c>
      <c r="G247" s="131"/>
      <c r="H247" s="142" t="s">
        <v>520</v>
      </c>
      <c r="I247" s="123" t="s">
        <v>526</v>
      </c>
      <c r="J247" s="212" t="s">
        <v>1383</v>
      </c>
      <c r="K247" s="212"/>
      <c r="L247" s="212"/>
      <c r="M247" s="213"/>
      <c r="N247" s="213"/>
      <c r="O247" s="214"/>
      <c r="P247" s="106" t="b">
        <f t="shared" si="8"/>
        <v>1</v>
      </c>
    </row>
    <row r="248" spans="1:16" x14ac:dyDescent="0.3">
      <c r="A248" s="124">
        <v>9</v>
      </c>
      <c r="B248" s="37" t="s">
        <v>499</v>
      </c>
      <c r="C248" s="38">
        <v>7</v>
      </c>
      <c r="D248" s="125" t="s">
        <v>490</v>
      </c>
      <c r="E248" s="123" t="s">
        <v>506</v>
      </c>
      <c r="F248" s="131"/>
      <c r="G248" s="128" t="s">
        <v>53</v>
      </c>
      <c r="H248" s="172" t="s">
        <v>520</v>
      </c>
      <c r="I248" s="155" t="s">
        <v>526</v>
      </c>
      <c r="J248" s="212"/>
      <c r="K248" s="212"/>
      <c r="L248" s="212"/>
      <c r="M248" s="213"/>
      <c r="N248" s="213"/>
      <c r="O248" s="214"/>
      <c r="P248" s="106" t="b">
        <f t="shared" si="8"/>
        <v>0</v>
      </c>
    </row>
    <row r="249" spans="1:16" x14ac:dyDescent="0.3">
      <c r="A249" s="124">
        <v>9</v>
      </c>
      <c r="B249" s="37" t="s">
        <v>499</v>
      </c>
      <c r="C249" s="38">
        <v>8</v>
      </c>
      <c r="D249" s="125" t="s">
        <v>491</v>
      </c>
      <c r="E249" s="123" t="s">
        <v>507</v>
      </c>
      <c r="F249" s="126" t="s">
        <v>52</v>
      </c>
      <c r="G249" s="131"/>
      <c r="H249" s="122" t="s">
        <v>521</v>
      </c>
      <c r="I249" s="123" t="s">
        <v>525</v>
      </c>
      <c r="J249" s="212"/>
      <c r="K249" s="212"/>
      <c r="L249" s="212"/>
      <c r="M249" s="213"/>
      <c r="N249" s="213"/>
      <c r="O249" s="214"/>
      <c r="P249" s="106" t="b">
        <f t="shared" si="8"/>
        <v>0</v>
      </c>
    </row>
    <row r="250" spans="1:16" x14ac:dyDescent="0.3">
      <c r="A250" s="124">
        <v>9</v>
      </c>
      <c r="B250" s="37" t="s">
        <v>499</v>
      </c>
      <c r="C250" s="38">
        <v>9</v>
      </c>
      <c r="D250" s="125" t="s">
        <v>492</v>
      </c>
      <c r="E250" s="123" t="s">
        <v>508</v>
      </c>
      <c r="F250" s="126" t="s">
        <v>52</v>
      </c>
      <c r="G250" s="131"/>
      <c r="H250" s="142" t="s">
        <v>520</v>
      </c>
      <c r="I250" s="123" t="s">
        <v>526</v>
      </c>
      <c r="J250" s="212"/>
      <c r="K250" s="212"/>
      <c r="L250" s="212"/>
      <c r="M250" s="213"/>
      <c r="N250" s="213"/>
      <c r="O250" s="214"/>
      <c r="P250" s="106" t="b">
        <f t="shared" si="8"/>
        <v>0</v>
      </c>
    </row>
    <row r="251" spans="1:16" x14ac:dyDescent="0.3">
      <c r="A251" s="124">
        <v>9</v>
      </c>
      <c r="B251" s="37" t="s">
        <v>499</v>
      </c>
      <c r="C251" s="38">
        <v>10</v>
      </c>
      <c r="D251" s="125" t="s">
        <v>493</v>
      </c>
      <c r="E251" s="123" t="s">
        <v>509</v>
      </c>
      <c r="F251" s="126" t="s">
        <v>52</v>
      </c>
      <c r="G251" s="131"/>
      <c r="H251" s="142" t="s">
        <v>520</v>
      </c>
      <c r="I251" s="123" t="s">
        <v>526</v>
      </c>
      <c r="J251" s="212" t="s">
        <v>1383</v>
      </c>
      <c r="K251" s="212"/>
      <c r="L251" s="212"/>
      <c r="M251" s="213"/>
      <c r="N251" s="213"/>
      <c r="O251" s="214"/>
      <c r="P251" s="106" t="b">
        <f t="shared" si="8"/>
        <v>1</v>
      </c>
    </row>
    <row r="252" spans="1:16" x14ac:dyDescent="0.3">
      <c r="A252" s="124">
        <v>9</v>
      </c>
      <c r="B252" s="37" t="s">
        <v>499</v>
      </c>
      <c r="C252" s="38">
        <v>11</v>
      </c>
      <c r="D252" s="125" t="s">
        <v>517</v>
      </c>
      <c r="E252" s="123" t="s">
        <v>510</v>
      </c>
      <c r="F252" s="131"/>
      <c r="G252" s="128" t="s">
        <v>53</v>
      </c>
      <c r="H252" s="172" t="s">
        <v>520</v>
      </c>
      <c r="I252" s="155" t="s">
        <v>526</v>
      </c>
      <c r="J252" s="212"/>
      <c r="K252" s="212"/>
      <c r="L252" s="212"/>
      <c r="M252" s="213"/>
      <c r="N252" s="213"/>
      <c r="O252" s="214"/>
      <c r="P252" s="106" t="b">
        <f t="shared" si="8"/>
        <v>0</v>
      </c>
    </row>
    <row r="253" spans="1:16" x14ac:dyDescent="0.3">
      <c r="A253" s="124">
        <v>9</v>
      </c>
      <c r="B253" s="37" t="s">
        <v>499</v>
      </c>
      <c r="C253" s="38">
        <v>12</v>
      </c>
      <c r="D253" s="125" t="s">
        <v>38</v>
      </c>
      <c r="E253" s="123" t="s">
        <v>511</v>
      </c>
      <c r="F253" s="126" t="s">
        <v>52</v>
      </c>
      <c r="G253" s="131"/>
      <c r="H253" s="142" t="s">
        <v>520</v>
      </c>
      <c r="I253" s="123" t="s">
        <v>526</v>
      </c>
      <c r="J253" s="212" t="s">
        <v>1383</v>
      </c>
      <c r="K253" s="212"/>
      <c r="L253" s="212"/>
      <c r="M253" s="213"/>
      <c r="N253" s="213"/>
      <c r="O253" s="214"/>
      <c r="P253" s="106" t="b">
        <f t="shared" si="8"/>
        <v>1</v>
      </c>
    </row>
    <row r="254" spans="1:16" x14ac:dyDescent="0.3">
      <c r="A254" s="124">
        <v>9</v>
      </c>
      <c r="B254" s="37" t="s">
        <v>499</v>
      </c>
      <c r="C254" s="38">
        <v>13</v>
      </c>
      <c r="D254" s="125" t="s">
        <v>494</v>
      </c>
      <c r="E254" s="123" t="s">
        <v>512</v>
      </c>
      <c r="F254" s="131"/>
      <c r="G254" s="128" t="s">
        <v>53</v>
      </c>
      <c r="H254" s="172" t="s">
        <v>520</v>
      </c>
      <c r="I254" s="155" t="s">
        <v>526</v>
      </c>
      <c r="J254" s="212"/>
      <c r="K254" s="212"/>
      <c r="L254" s="212"/>
      <c r="M254" s="213"/>
      <c r="N254" s="213"/>
      <c r="O254" s="214"/>
      <c r="P254" s="106" t="b">
        <f t="shared" si="8"/>
        <v>0</v>
      </c>
    </row>
    <row r="255" spans="1:16" x14ac:dyDescent="0.3">
      <c r="A255" s="124">
        <v>9</v>
      </c>
      <c r="B255" s="37" t="s">
        <v>499</v>
      </c>
      <c r="C255" s="38">
        <v>14</v>
      </c>
      <c r="D255" s="125" t="s">
        <v>495</v>
      </c>
      <c r="E255" s="123" t="s">
        <v>526</v>
      </c>
      <c r="F255" s="126" t="s">
        <v>52</v>
      </c>
      <c r="G255" s="131"/>
      <c r="H255" s="122" t="s">
        <v>522</v>
      </c>
      <c r="I255" s="123" t="s">
        <v>526</v>
      </c>
      <c r="J255" s="212"/>
      <c r="K255" s="212" t="s">
        <v>1383</v>
      </c>
      <c r="L255" s="212"/>
      <c r="M255" s="213"/>
      <c r="N255" s="212" t="s">
        <v>1383</v>
      </c>
      <c r="O255" s="214"/>
      <c r="P255" s="106" t="b">
        <f t="shared" si="8"/>
        <v>1</v>
      </c>
    </row>
    <row r="256" spans="1:16" x14ac:dyDescent="0.3">
      <c r="A256" s="124">
        <v>9</v>
      </c>
      <c r="B256" s="37" t="s">
        <v>499</v>
      </c>
      <c r="C256" s="38">
        <v>15</v>
      </c>
      <c r="D256" s="125" t="s">
        <v>43</v>
      </c>
      <c r="E256" s="123" t="s">
        <v>513</v>
      </c>
      <c r="F256" s="126" t="s">
        <v>52</v>
      </c>
      <c r="G256" s="131"/>
      <c r="H256" s="142" t="s">
        <v>520</v>
      </c>
      <c r="I256" s="123" t="s">
        <v>526</v>
      </c>
      <c r="J256" s="212"/>
      <c r="K256" s="212"/>
      <c r="L256" s="212"/>
      <c r="M256" s="213"/>
      <c r="N256" s="213"/>
      <c r="O256" s="214" t="s">
        <v>1383</v>
      </c>
      <c r="P256" s="106" t="b">
        <f t="shared" si="8"/>
        <v>1</v>
      </c>
    </row>
    <row r="257" spans="1:16" x14ac:dyDescent="0.3">
      <c r="A257" s="124">
        <v>9</v>
      </c>
      <c r="B257" s="37" t="s">
        <v>499</v>
      </c>
      <c r="C257" s="38">
        <v>16</v>
      </c>
      <c r="D257" s="125" t="s">
        <v>496</v>
      </c>
      <c r="E257" s="123" t="s">
        <v>514</v>
      </c>
      <c r="F257" s="131"/>
      <c r="G257" s="128" t="s">
        <v>53</v>
      </c>
      <c r="H257" s="172" t="s">
        <v>520</v>
      </c>
      <c r="I257" s="155" t="s">
        <v>526</v>
      </c>
      <c r="J257" s="212"/>
      <c r="K257" s="212"/>
      <c r="L257" s="212"/>
      <c r="M257" s="213"/>
      <c r="N257" s="213"/>
      <c r="O257" s="214"/>
      <c r="P257" s="106" t="b">
        <f t="shared" si="8"/>
        <v>0</v>
      </c>
    </row>
    <row r="258" spans="1:16" x14ac:dyDescent="0.3">
      <c r="A258" s="124">
        <v>9</v>
      </c>
      <c r="B258" s="37" t="s">
        <v>499</v>
      </c>
      <c r="C258" s="38">
        <v>17</v>
      </c>
      <c r="D258" s="125" t="s">
        <v>497</v>
      </c>
      <c r="E258" s="123" t="s">
        <v>515</v>
      </c>
      <c r="F258" s="131"/>
      <c r="G258" s="128" t="s">
        <v>53</v>
      </c>
      <c r="H258" s="172" t="s">
        <v>520</v>
      </c>
      <c r="I258" s="155" t="s">
        <v>526</v>
      </c>
      <c r="J258" s="212"/>
      <c r="K258" s="212"/>
      <c r="L258" s="212"/>
      <c r="M258" s="213"/>
      <c r="N258" s="213"/>
      <c r="O258" s="214"/>
      <c r="P258" s="106" t="b">
        <f t="shared" si="8"/>
        <v>0</v>
      </c>
    </row>
    <row r="259" spans="1:16" ht="19.5" thickBot="1" x14ac:dyDescent="0.35">
      <c r="A259" s="132">
        <v>9</v>
      </c>
      <c r="B259" s="39" t="s">
        <v>499</v>
      </c>
      <c r="C259" s="45">
        <v>18</v>
      </c>
      <c r="D259" s="156" t="s">
        <v>498</v>
      </c>
      <c r="E259" s="159" t="s">
        <v>516</v>
      </c>
      <c r="F259" s="174"/>
      <c r="G259" s="135" t="s">
        <v>53</v>
      </c>
      <c r="H259" s="175" t="s">
        <v>518</v>
      </c>
      <c r="I259" s="176" t="s">
        <v>523</v>
      </c>
      <c r="J259" s="221"/>
      <c r="K259" s="221"/>
      <c r="L259" s="221"/>
      <c r="M259" s="222"/>
      <c r="N259" s="222"/>
      <c r="O259" s="223"/>
      <c r="P259" s="106" t="b">
        <f t="shared" si="8"/>
        <v>0</v>
      </c>
    </row>
    <row r="260" spans="1:16" ht="19.5" hidden="1" thickBot="1" x14ac:dyDescent="0.3">
      <c r="A260" s="137">
        <v>9</v>
      </c>
      <c r="B260" s="138" t="s">
        <v>499</v>
      </c>
      <c r="C260" s="15">
        <f>COUNTA(C242:C259)</f>
        <v>18</v>
      </c>
      <c r="D260" s="139" t="s">
        <v>1</v>
      </c>
      <c r="E260" s="139" t="s">
        <v>1374</v>
      </c>
      <c r="F260" s="15">
        <f>COUNTA(F242:F259)</f>
        <v>10</v>
      </c>
      <c r="G260" s="15">
        <f>COUNTA(G242:G259)</f>
        <v>8</v>
      </c>
      <c r="H260" s="304" t="s">
        <v>3</v>
      </c>
      <c r="I260" s="305"/>
      <c r="J260" s="107">
        <f t="shared" ref="J260:O260" si="12">COUNTA(J242:J259)</f>
        <v>6</v>
      </c>
      <c r="K260" s="107">
        <f t="shared" si="12"/>
        <v>1</v>
      </c>
      <c r="L260" s="107">
        <f t="shared" si="12"/>
        <v>0</v>
      </c>
      <c r="M260" s="107">
        <f t="shared" si="12"/>
        <v>0</v>
      </c>
      <c r="N260" s="107">
        <f t="shared" si="12"/>
        <v>2</v>
      </c>
      <c r="O260" s="108">
        <f t="shared" si="12"/>
        <v>2</v>
      </c>
      <c r="P260" s="108">
        <f>COUNTIF(P242:P259,TRUE)</f>
        <v>8</v>
      </c>
    </row>
    <row r="261" spans="1:16" x14ac:dyDescent="0.3">
      <c r="A261" s="124">
        <v>10</v>
      </c>
      <c r="B261" s="37" t="s">
        <v>550</v>
      </c>
      <c r="C261" s="38">
        <v>1</v>
      </c>
      <c r="D261" s="166" t="s">
        <v>527</v>
      </c>
      <c r="E261" s="123" t="s">
        <v>551</v>
      </c>
      <c r="F261" s="131"/>
      <c r="G261" s="128" t="s">
        <v>53</v>
      </c>
      <c r="H261" s="154" t="s">
        <v>262</v>
      </c>
      <c r="I261" s="155" t="s">
        <v>580</v>
      </c>
      <c r="J261" s="212"/>
      <c r="K261" s="212"/>
      <c r="L261" s="212"/>
      <c r="M261" s="213"/>
      <c r="N261" s="213"/>
      <c r="O261" s="214"/>
      <c r="P261" s="106" t="b">
        <f t="shared" si="8"/>
        <v>0</v>
      </c>
    </row>
    <row r="262" spans="1:16" x14ac:dyDescent="0.3">
      <c r="A262" s="124">
        <v>10</v>
      </c>
      <c r="B262" s="37" t="s">
        <v>550</v>
      </c>
      <c r="C262" s="38">
        <v>2</v>
      </c>
      <c r="D262" s="125" t="s">
        <v>528</v>
      </c>
      <c r="E262" s="123" t="s">
        <v>552</v>
      </c>
      <c r="F262" s="126" t="s">
        <v>52</v>
      </c>
      <c r="G262" s="131"/>
      <c r="H262" s="122" t="s">
        <v>262</v>
      </c>
      <c r="I262" s="123" t="s">
        <v>580</v>
      </c>
      <c r="J262" s="212" t="s">
        <v>1383</v>
      </c>
      <c r="K262" s="212"/>
      <c r="L262" s="212"/>
      <c r="M262" s="213"/>
      <c r="N262" s="213"/>
      <c r="O262" s="214"/>
      <c r="P262" s="106" t="b">
        <f t="shared" ref="P262:P285" si="13">IF(COUNTA(J262:O262)=0,FALSE,TRUE)</f>
        <v>1</v>
      </c>
    </row>
    <row r="263" spans="1:16" x14ac:dyDescent="0.3">
      <c r="A263" s="124">
        <v>10</v>
      </c>
      <c r="B263" s="37" t="s">
        <v>550</v>
      </c>
      <c r="C263" s="38">
        <v>3</v>
      </c>
      <c r="D263" s="125" t="s">
        <v>529</v>
      </c>
      <c r="E263" s="123" t="s">
        <v>553</v>
      </c>
      <c r="F263" s="131"/>
      <c r="G263" s="128" t="s">
        <v>53</v>
      </c>
      <c r="H263" s="154" t="s">
        <v>262</v>
      </c>
      <c r="I263" s="155" t="s">
        <v>580</v>
      </c>
      <c r="J263" s="212"/>
      <c r="K263" s="212"/>
      <c r="L263" s="212"/>
      <c r="M263" s="213"/>
      <c r="N263" s="213"/>
      <c r="O263" s="214"/>
      <c r="P263" s="106" t="b">
        <f t="shared" si="13"/>
        <v>0</v>
      </c>
    </row>
    <row r="264" spans="1:16" x14ac:dyDescent="0.3">
      <c r="A264" s="124">
        <v>10</v>
      </c>
      <c r="B264" s="37" t="s">
        <v>550</v>
      </c>
      <c r="C264" s="38">
        <v>4</v>
      </c>
      <c r="D264" s="125" t="s">
        <v>530</v>
      </c>
      <c r="E264" s="123" t="s">
        <v>554</v>
      </c>
      <c r="F264" s="126" t="s">
        <v>52</v>
      </c>
      <c r="G264" s="131"/>
      <c r="H264" s="122" t="s">
        <v>576</v>
      </c>
      <c r="I264" s="123" t="s">
        <v>575</v>
      </c>
      <c r="J264" s="212" t="s">
        <v>1383</v>
      </c>
      <c r="K264" s="212"/>
      <c r="L264" s="212"/>
      <c r="M264" s="213"/>
      <c r="N264" s="213"/>
      <c r="O264" s="214"/>
      <c r="P264" s="106" t="b">
        <f t="shared" si="13"/>
        <v>1</v>
      </c>
    </row>
    <row r="265" spans="1:16" x14ac:dyDescent="0.3">
      <c r="A265" s="124">
        <v>10</v>
      </c>
      <c r="B265" s="37" t="s">
        <v>550</v>
      </c>
      <c r="C265" s="38">
        <v>5</v>
      </c>
      <c r="D265" s="125" t="s">
        <v>531</v>
      </c>
      <c r="E265" s="123" t="s">
        <v>555</v>
      </c>
      <c r="F265" s="126" t="s">
        <v>52</v>
      </c>
      <c r="G265" s="131"/>
      <c r="H265" s="122" t="s">
        <v>581</v>
      </c>
      <c r="I265" s="123" t="s">
        <v>577</v>
      </c>
      <c r="J265" s="212" t="s">
        <v>1383</v>
      </c>
      <c r="K265" s="212"/>
      <c r="L265" s="212"/>
      <c r="M265" s="213"/>
      <c r="N265" s="213"/>
      <c r="O265" s="214"/>
      <c r="P265" s="106" t="b">
        <f t="shared" si="13"/>
        <v>1</v>
      </c>
    </row>
    <row r="266" spans="1:16" x14ac:dyDescent="0.3">
      <c r="A266" s="124">
        <v>10</v>
      </c>
      <c r="B266" s="37" t="s">
        <v>550</v>
      </c>
      <c r="C266" s="38">
        <v>6</v>
      </c>
      <c r="D266" s="125" t="s">
        <v>532</v>
      </c>
      <c r="E266" s="123" t="s">
        <v>556</v>
      </c>
      <c r="F266" s="131"/>
      <c r="G266" s="128" t="s">
        <v>53</v>
      </c>
      <c r="H266" s="154" t="s">
        <v>262</v>
      </c>
      <c r="I266" s="155" t="s">
        <v>580</v>
      </c>
      <c r="J266" s="212"/>
      <c r="K266" s="212"/>
      <c r="L266" s="212"/>
      <c r="M266" s="213"/>
      <c r="N266" s="213"/>
      <c r="O266" s="214"/>
      <c r="P266" s="106" t="b">
        <f t="shared" si="13"/>
        <v>0</v>
      </c>
    </row>
    <row r="267" spans="1:16" x14ac:dyDescent="0.3">
      <c r="A267" s="124">
        <v>10</v>
      </c>
      <c r="B267" s="37" t="s">
        <v>550</v>
      </c>
      <c r="C267" s="38">
        <v>7</v>
      </c>
      <c r="D267" s="125" t="s">
        <v>533</v>
      </c>
      <c r="E267" s="123" t="s">
        <v>557</v>
      </c>
      <c r="F267" s="126" t="s">
        <v>52</v>
      </c>
      <c r="G267" s="131"/>
      <c r="H267" s="122" t="s">
        <v>576</v>
      </c>
      <c r="I267" s="123" t="s">
        <v>575</v>
      </c>
      <c r="J267" s="212"/>
      <c r="K267" s="212" t="s">
        <v>1383</v>
      </c>
      <c r="L267" s="212"/>
      <c r="M267" s="213"/>
      <c r="N267" s="213"/>
      <c r="O267" s="214"/>
      <c r="P267" s="106" t="b">
        <f t="shared" si="13"/>
        <v>1</v>
      </c>
    </row>
    <row r="268" spans="1:16" x14ac:dyDescent="0.3">
      <c r="A268" s="124">
        <v>10</v>
      </c>
      <c r="B268" s="37" t="s">
        <v>550</v>
      </c>
      <c r="C268" s="38">
        <v>8</v>
      </c>
      <c r="D268" s="125" t="s">
        <v>424</v>
      </c>
      <c r="E268" s="123" t="s">
        <v>558</v>
      </c>
      <c r="F268" s="126" t="s">
        <v>52</v>
      </c>
      <c r="G268" s="131"/>
      <c r="H268" s="122" t="s">
        <v>576</v>
      </c>
      <c r="I268" s="123" t="s">
        <v>575</v>
      </c>
      <c r="J268" s="212" t="s">
        <v>1383</v>
      </c>
      <c r="K268" s="212" t="s">
        <v>1383</v>
      </c>
      <c r="L268" s="212"/>
      <c r="M268" s="213"/>
      <c r="N268" s="213"/>
      <c r="O268" s="214"/>
      <c r="P268" s="106" t="b">
        <f t="shared" si="13"/>
        <v>1</v>
      </c>
    </row>
    <row r="269" spans="1:16" x14ac:dyDescent="0.3">
      <c r="A269" s="124">
        <v>10</v>
      </c>
      <c r="B269" s="37" t="s">
        <v>550</v>
      </c>
      <c r="C269" s="38">
        <v>9</v>
      </c>
      <c r="D269" s="125" t="s">
        <v>534</v>
      </c>
      <c r="E269" s="123" t="s">
        <v>559</v>
      </c>
      <c r="F269" s="126" t="s">
        <v>52</v>
      </c>
      <c r="G269" s="131"/>
      <c r="H269" s="122" t="s">
        <v>576</v>
      </c>
      <c r="I269" s="123" t="s">
        <v>575</v>
      </c>
      <c r="J269" s="212" t="s">
        <v>1383</v>
      </c>
      <c r="K269" s="212"/>
      <c r="L269" s="212"/>
      <c r="M269" s="213"/>
      <c r="N269" s="213"/>
      <c r="O269" s="214"/>
      <c r="P269" s="106" t="b">
        <f t="shared" si="13"/>
        <v>1</v>
      </c>
    </row>
    <row r="270" spans="1:16" x14ac:dyDescent="0.3">
      <c r="A270" s="124">
        <v>10</v>
      </c>
      <c r="B270" s="37" t="s">
        <v>550</v>
      </c>
      <c r="C270" s="38">
        <v>10</v>
      </c>
      <c r="D270" s="125" t="s">
        <v>535</v>
      </c>
      <c r="E270" s="123" t="s">
        <v>560</v>
      </c>
      <c r="F270" s="131"/>
      <c r="G270" s="128" t="s">
        <v>53</v>
      </c>
      <c r="H270" s="154" t="s">
        <v>262</v>
      </c>
      <c r="I270" s="155" t="s">
        <v>580</v>
      </c>
      <c r="J270" s="212"/>
      <c r="K270" s="212"/>
      <c r="L270" s="212"/>
      <c r="M270" s="213"/>
      <c r="N270" s="213"/>
      <c r="O270" s="214"/>
      <c r="P270" s="106" t="b">
        <f t="shared" si="13"/>
        <v>0</v>
      </c>
    </row>
    <row r="271" spans="1:16" x14ac:dyDescent="0.3">
      <c r="A271" s="124">
        <v>10</v>
      </c>
      <c r="B271" s="37" t="s">
        <v>550</v>
      </c>
      <c r="C271" s="38">
        <v>11</v>
      </c>
      <c r="D271" s="125" t="s">
        <v>536</v>
      </c>
      <c r="E271" s="123" t="s">
        <v>561</v>
      </c>
      <c r="F271" s="126" t="s">
        <v>52</v>
      </c>
      <c r="G271" s="131"/>
      <c r="H271" s="122" t="s">
        <v>578</v>
      </c>
      <c r="I271" s="123" t="s">
        <v>579</v>
      </c>
      <c r="J271" s="212" t="s">
        <v>1383</v>
      </c>
      <c r="K271" s="212"/>
      <c r="L271" s="212"/>
      <c r="M271" s="213"/>
      <c r="N271" s="213"/>
      <c r="O271" s="214"/>
      <c r="P271" s="106" t="b">
        <f t="shared" si="13"/>
        <v>1</v>
      </c>
    </row>
    <row r="272" spans="1:16" x14ac:dyDescent="0.3">
      <c r="A272" s="124">
        <v>10</v>
      </c>
      <c r="B272" s="37" t="s">
        <v>550</v>
      </c>
      <c r="C272" s="38">
        <v>12</v>
      </c>
      <c r="D272" s="125" t="s">
        <v>537</v>
      </c>
      <c r="E272" s="123" t="s">
        <v>562</v>
      </c>
      <c r="F272" s="126" t="s">
        <v>52</v>
      </c>
      <c r="G272" s="131"/>
      <c r="H272" s="122" t="s">
        <v>262</v>
      </c>
      <c r="I272" s="123" t="s">
        <v>580</v>
      </c>
      <c r="J272" s="212" t="s">
        <v>1383</v>
      </c>
      <c r="K272" s="212"/>
      <c r="L272" s="212"/>
      <c r="M272" s="212" t="s">
        <v>1383</v>
      </c>
      <c r="N272" s="213"/>
      <c r="O272" s="214"/>
      <c r="P272" s="106" t="b">
        <f t="shared" si="13"/>
        <v>1</v>
      </c>
    </row>
    <row r="273" spans="1:16" x14ac:dyDescent="0.3">
      <c r="A273" s="124">
        <v>10</v>
      </c>
      <c r="B273" s="37" t="s">
        <v>550</v>
      </c>
      <c r="C273" s="38">
        <v>13</v>
      </c>
      <c r="D273" s="125" t="s">
        <v>538</v>
      </c>
      <c r="E273" s="123" t="s">
        <v>563</v>
      </c>
      <c r="F273" s="126" t="s">
        <v>52</v>
      </c>
      <c r="G273" s="131"/>
      <c r="H273" s="122" t="s">
        <v>262</v>
      </c>
      <c r="I273" s="123" t="s">
        <v>580</v>
      </c>
      <c r="J273" s="212" t="s">
        <v>1383</v>
      </c>
      <c r="K273" s="212"/>
      <c r="L273" s="212"/>
      <c r="M273" s="213"/>
      <c r="N273" s="212"/>
      <c r="O273" s="214"/>
      <c r="P273" s="106" t="b">
        <f t="shared" si="13"/>
        <v>1</v>
      </c>
    </row>
    <row r="274" spans="1:16" x14ac:dyDescent="0.3">
      <c r="A274" s="124">
        <v>10</v>
      </c>
      <c r="B274" s="37" t="s">
        <v>550</v>
      </c>
      <c r="C274" s="38">
        <v>14</v>
      </c>
      <c r="D274" s="125" t="s">
        <v>539</v>
      </c>
      <c r="E274" s="123" t="s">
        <v>564</v>
      </c>
      <c r="F274" s="126" t="s">
        <v>52</v>
      </c>
      <c r="G274" s="131"/>
      <c r="H274" s="122" t="s">
        <v>262</v>
      </c>
      <c r="I274" s="123" t="s">
        <v>580</v>
      </c>
      <c r="J274" s="212" t="s">
        <v>1383</v>
      </c>
      <c r="K274" s="212"/>
      <c r="L274" s="212"/>
      <c r="M274" s="213"/>
      <c r="N274" s="213"/>
      <c r="O274" s="214"/>
      <c r="P274" s="106" t="b">
        <f t="shared" si="13"/>
        <v>1</v>
      </c>
    </row>
    <row r="275" spans="1:16" x14ac:dyDescent="0.3">
      <c r="A275" s="124">
        <v>10</v>
      </c>
      <c r="B275" s="37" t="s">
        <v>550</v>
      </c>
      <c r="C275" s="38">
        <v>15</v>
      </c>
      <c r="D275" s="125" t="s">
        <v>540</v>
      </c>
      <c r="E275" s="123" t="s">
        <v>565</v>
      </c>
      <c r="F275" s="126" t="s">
        <v>52</v>
      </c>
      <c r="G275" s="131"/>
      <c r="H275" s="122" t="s">
        <v>413</v>
      </c>
      <c r="I275" s="123" t="s">
        <v>412</v>
      </c>
      <c r="J275" s="212" t="s">
        <v>1383</v>
      </c>
      <c r="K275" s="212" t="s">
        <v>1383</v>
      </c>
      <c r="L275" s="212"/>
      <c r="M275" s="213"/>
      <c r="N275" s="213"/>
      <c r="O275" s="214"/>
      <c r="P275" s="106" t="b">
        <f t="shared" si="13"/>
        <v>1</v>
      </c>
    </row>
    <row r="276" spans="1:16" x14ac:dyDescent="0.3">
      <c r="A276" s="124">
        <v>10</v>
      </c>
      <c r="B276" s="37" t="s">
        <v>550</v>
      </c>
      <c r="C276" s="38">
        <v>16</v>
      </c>
      <c r="D276" s="125" t="s">
        <v>541</v>
      </c>
      <c r="E276" s="123" t="s">
        <v>566</v>
      </c>
      <c r="F276" s="126" t="s">
        <v>52</v>
      </c>
      <c r="G276" s="131"/>
      <c r="H276" s="122" t="s">
        <v>576</v>
      </c>
      <c r="I276" s="123" t="s">
        <v>575</v>
      </c>
      <c r="J276" s="212" t="s">
        <v>1383</v>
      </c>
      <c r="K276" s="212"/>
      <c r="L276" s="212"/>
      <c r="M276" s="213"/>
      <c r="N276" s="213"/>
      <c r="O276" s="214"/>
      <c r="P276" s="106" t="b">
        <f t="shared" si="13"/>
        <v>1</v>
      </c>
    </row>
    <row r="277" spans="1:16" x14ac:dyDescent="0.3">
      <c r="A277" s="124">
        <v>10</v>
      </c>
      <c r="B277" s="37" t="s">
        <v>550</v>
      </c>
      <c r="C277" s="38">
        <v>17</v>
      </c>
      <c r="D277" s="125" t="s">
        <v>542</v>
      </c>
      <c r="E277" s="123" t="s">
        <v>566</v>
      </c>
      <c r="F277" s="126" t="s">
        <v>52</v>
      </c>
      <c r="G277" s="128"/>
      <c r="H277" s="122" t="s">
        <v>262</v>
      </c>
      <c r="I277" s="123" t="s">
        <v>580</v>
      </c>
      <c r="J277" s="212"/>
      <c r="K277" s="212"/>
      <c r="L277" s="212"/>
      <c r="M277" s="213"/>
      <c r="N277" s="213"/>
      <c r="O277" s="214"/>
      <c r="P277" s="106" t="b">
        <f t="shared" si="13"/>
        <v>0</v>
      </c>
    </row>
    <row r="278" spans="1:16" x14ac:dyDescent="0.3">
      <c r="A278" s="124">
        <v>10</v>
      </c>
      <c r="B278" s="37" t="s">
        <v>550</v>
      </c>
      <c r="C278" s="38">
        <v>18</v>
      </c>
      <c r="D278" s="125" t="s">
        <v>543</v>
      </c>
      <c r="E278" s="123" t="s">
        <v>567</v>
      </c>
      <c r="F278" s="126" t="s">
        <v>52</v>
      </c>
      <c r="G278" s="131"/>
      <c r="H278" s="122" t="s">
        <v>576</v>
      </c>
      <c r="I278" s="123" t="s">
        <v>575</v>
      </c>
      <c r="J278" s="212" t="s">
        <v>1383</v>
      </c>
      <c r="K278" s="212"/>
      <c r="L278" s="212"/>
      <c r="M278" s="213"/>
      <c r="N278" s="213"/>
      <c r="O278" s="214"/>
      <c r="P278" s="106" t="b">
        <f t="shared" si="13"/>
        <v>1</v>
      </c>
    </row>
    <row r="279" spans="1:16" x14ac:dyDescent="0.3">
      <c r="A279" s="124">
        <v>10</v>
      </c>
      <c r="B279" s="37" t="s">
        <v>550</v>
      </c>
      <c r="C279" s="38">
        <v>19</v>
      </c>
      <c r="D279" s="125" t="s">
        <v>84</v>
      </c>
      <c r="E279" s="123" t="s">
        <v>568</v>
      </c>
      <c r="F279" s="126" t="s">
        <v>52</v>
      </c>
      <c r="G279" s="131"/>
      <c r="H279" s="122" t="s">
        <v>576</v>
      </c>
      <c r="I279" s="123" t="s">
        <v>575</v>
      </c>
      <c r="J279" s="212"/>
      <c r="K279" s="212" t="s">
        <v>1383</v>
      </c>
      <c r="L279" s="212"/>
      <c r="M279" s="213"/>
      <c r="N279" s="213"/>
      <c r="O279" s="214"/>
      <c r="P279" s="106" t="b">
        <f t="shared" si="13"/>
        <v>1</v>
      </c>
    </row>
    <row r="280" spans="1:16" x14ac:dyDescent="0.3">
      <c r="A280" s="124">
        <v>10</v>
      </c>
      <c r="B280" s="37" t="s">
        <v>550</v>
      </c>
      <c r="C280" s="38">
        <v>20</v>
      </c>
      <c r="D280" s="125" t="s">
        <v>544</v>
      </c>
      <c r="E280" s="123" t="s">
        <v>569</v>
      </c>
      <c r="F280" s="126" t="s">
        <v>52</v>
      </c>
      <c r="G280" s="131"/>
      <c r="H280" s="122" t="s">
        <v>576</v>
      </c>
      <c r="I280" s="123" t="s">
        <v>575</v>
      </c>
      <c r="J280" s="212" t="s">
        <v>1383</v>
      </c>
      <c r="K280" s="212" t="s">
        <v>1383</v>
      </c>
      <c r="L280" s="212"/>
      <c r="M280" s="213"/>
      <c r="N280" s="212" t="s">
        <v>1383</v>
      </c>
      <c r="O280" s="214"/>
      <c r="P280" s="106" t="b">
        <f t="shared" si="13"/>
        <v>1</v>
      </c>
    </row>
    <row r="281" spans="1:16" x14ac:dyDescent="0.3">
      <c r="A281" s="124">
        <v>10</v>
      </c>
      <c r="B281" s="37" t="s">
        <v>550</v>
      </c>
      <c r="C281" s="38">
        <v>21</v>
      </c>
      <c r="D281" s="125" t="s">
        <v>545</v>
      </c>
      <c r="E281" s="123" t="s">
        <v>570</v>
      </c>
      <c r="F281" s="126" t="s">
        <v>52</v>
      </c>
      <c r="G281" s="131"/>
      <c r="H281" s="122" t="s">
        <v>576</v>
      </c>
      <c r="I281" s="123" t="s">
        <v>575</v>
      </c>
      <c r="J281" s="212" t="s">
        <v>1383</v>
      </c>
      <c r="K281" s="212"/>
      <c r="L281" s="212"/>
      <c r="M281" s="213"/>
      <c r="N281" s="213"/>
      <c r="O281" s="214"/>
      <c r="P281" s="106" t="b">
        <f t="shared" si="13"/>
        <v>1</v>
      </c>
    </row>
    <row r="282" spans="1:16" x14ac:dyDescent="0.3">
      <c r="A282" s="124">
        <v>10</v>
      </c>
      <c r="B282" s="37" t="s">
        <v>550</v>
      </c>
      <c r="C282" s="38">
        <v>22</v>
      </c>
      <c r="D282" s="125" t="s">
        <v>546</v>
      </c>
      <c r="E282" s="123" t="s">
        <v>571</v>
      </c>
      <c r="F282" s="126" t="s">
        <v>52</v>
      </c>
      <c r="G282" s="131"/>
      <c r="H282" s="122" t="s">
        <v>262</v>
      </c>
      <c r="I282" s="123" t="s">
        <v>580</v>
      </c>
      <c r="J282" s="212" t="s">
        <v>1383</v>
      </c>
      <c r="K282" s="212"/>
      <c r="L282" s="212"/>
      <c r="M282" s="213"/>
      <c r="N282" s="213"/>
      <c r="O282" s="214"/>
      <c r="P282" s="106" t="b">
        <f t="shared" si="13"/>
        <v>1</v>
      </c>
    </row>
    <row r="283" spans="1:16" x14ac:dyDescent="0.3">
      <c r="A283" s="124">
        <v>10</v>
      </c>
      <c r="B283" s="37" t="s">
        <v>550</v>
      </c>
      <c r="C283" s="38">
        <v>23</v>
      </c>
      <c r="D283" s="125" t="s">
        <v>547</v>
      </c>
      <c r="E283" s="123" t="s">
        <v>572</v>
      </c>
      <c r="F283" s="126" t="s">
        <v>52</v>
      </c>
      <c r="G283" s="131"/>
      <c r="H283" s="122" t="s">
        <v>576</v>
      </c>
      <c r="I283" s="123" t="s">
        <v>575</v>
      </c>
      <c r="J283" s="212" t="s">
        <v>1383</v>
      </c>
      <c r="K283" s="212"/>
      <c r="L283" s="212"/>
      <c r="M283" s="213"/>
      <c r="N283" s="212" t="s">
        <v>1383</v>
      </c>
      <c r="O283" s="214"/>
      <c r="P283" s="106" t="b">
        <f t="shared" si="13"/>
        <v>1</v>
      </c>
    </row>
    <row r="284" spans="1:16" x14ac:dyDescent="0.3">
      <c r="A284" s="124">
        <v>10</v>
      </c>
      <c r="B284" s="37" t="s">
        <v>550</v>
      </c>
      <c r="C284" s="38">
        <v>24</v>
      </c>
      <c r="D284" s="125" t="s">
        <v>548</v>
      </c>
      <c r="E284" s="123" t="s">
        <v>573</v>
      </c>
      <c r="F284" s="126" t="s">
        <v>52</v>
      </c>
      <c r="G284" s="131"/>
      <c r="H284" s="122" t="s">
        <v>262</v>
      </c>
      <c r="I284" s="123" t="s">
        <v>580</v>
      </c>
      <c r="J284" s="212" t="s">
        <v>1383</v>
      </c>
      <c r="K284" s="212"/>
      <c r="L284" s="212"/>
      <c r="M284" s="213"/>
      <c r="N284" s="213"/>
      <c r="O284" s="214"/>
      <c r="P284" s="106" t="b">
        <f t="shared" si="13"/>
        <v>1</v>
      </c>
    </row>
    <row r="285" spans="1:16" ht="19.5" thickBot="1" x14ac:dyDescent="0.35">
      <c r="A285" s="124">
        <v>10</v>
      </c>
      <c r="B285" s="37" t="s">
        <v>550</v>
      </c>
      <c r="C285" s="38">
        <v>25</v>
      </c>
      <c r="D285" s="17" t="s">
        <v>549</v>
      </c>
      <c r="E285" s="123" t="s">
        <v>574</v>
      </c>
      <c r="F285" s="126" t="s">
        <v>52</v>
      </c>
      <c r="G285" s="131"/>
      <c r="H285" s="122" t="s">
        <v>413</v>
      </c>
      <c r="I285" s="123" t="s">
        <v>412</v>
      </c>
      <c r="J285" s="212"/>
      <c r="K285" s="212"/>
      <c r="L285" s="212"/>
      <c r="M285" s="213"/>
      <c r="N285" s="213"/>
      <c r="O285" s="214"/>
      <c r="P285" s="106" t="b">
        <f t="shared" si="13"/>
        <v>0</v>
      </c>
    </row>
    <row r="286" spans="1:16" ht="19.5" hidden="1" thickBot="1" x14ac:dyDescent="0.3">
      <c r="A286" s="177">
        <v>10</v>
      </c>
      <c r="B286" s="178" t="s">
        <v>550</v>
      </c>
      <c r="C286" s="179">
        <f>COUNTA(C261:C285)</f>
        <v>25</v>
      </c>
      <c r="D286" s="180" t="s">
        <v>1</v>
      </c>
      <c r="E286" s="180" t="s">
        <v>1374</v>
      </c>
      <c r="F286" s="179">
        <f>COUNTA(F261:F285)</f>
        <v>21</v>
      </c>
      <c r="G286" s="179">
        <f>COUNTA(G261:G285)</f>
        <v>4</v>
      </c>
      <c r="H286" s="302" t="s">
        <v>3</v>
      </c>
      <c r="I286" s="303"/>
      <c r="J286" s="109">
        <f>COUNTA(J261:J285)</f>
        <v>17</v>
      </c>
      <c r="K286" s="109">
        <f t="shared" ref="K286:O286" si="14">COUNTA(K261:K285)</f>
        <v>5</v>
      </c>
      <c r="L286" s="109">
        <f t="shared" si="14"/>
        <v>0</v>
      </c>
      <c r="M286" s="109">
        <f t="shared" si="14"/>
        <v>1</v>
      </c>
      <c r="N286" s="109">
        <f t="shared" si="14"/>
        <v>2</v>
      </c>
      <c r="O286" s="110">
        <f t="shared" si="14"/>
        <v>0</v>
      </c>
      <c r="P286" s="108">
        <f>COUNTIF(P261:P285,TRUE)</f>
        <v>19</v>
      </c>
    </row>
    <row r="287" spans="1:16" x14ac:dyDescent="0.3">
      <c r="A287" s="119">
        <v>11</v>
      </c>
      <c r="B287" s="41" t="s">
        <v>593</v>
      </c>
      <c r="C287" s="44">
        <v>1</v>
      </c>
      <c r="D287" s="150" t="s">
        <v>582</v>
      </c>
      <c r="E287" s="153" t="s">
        <v>594</v>
      </c>
      <c r="F287" s="168"/>
      <c r="G287" s="169" t="s">
        <v>53</v>
      </c>
      <c r="H287" s="170" t="s">
        <v>518</v>
      </c>
      <c r="I287" s="171" t="s">
        <v>523</v>
      </c>
      <c r="J287" s="218"/>
      <c r="K287" s="218"/>
      <c r="L287" s="218"/>
      <c r="M287" s="219"/>
      <c r="N287" s="219"/>
      <c r="O287" s="220"/>
      <c r="P287" s="106" t="b">
        <f t="shared" ref="P287:P350" si="15">IF(COUNTA(J287:O287)=0,FALSE,TRUE)</f>
        <v>0</v>
      </c>
    </row>
    <row r="288" spans="1:16" x14ac:dyDescent="0.3">
      <c r="A288" s="124">
        <v>11</v>
      </c>
      <c r="B288" s="37" t="s">
        <v>593</v>
      </c>
      <c r="C288" s="38">
        <v>2</v>
      </c>
      <c r="D288" s="125" t="s">
        <v>57</v>
      </c>
      <c r="E288" s="123" t="s">
        <v>595</v>
      </c>
      <c r="F288" s="131"/>
      <c r="G288" s="128" t="s">
        <v>53</v>
      </c>
      <c r="H288" s="154" t="s">
        <v>518</v>
      </c>
      <c r="I288" s="155" t="s">
        <v>523</v>
      </c>
      <c r="J288" s="212"/>
      <c r="K288" s="212"/>
      <c r="L288" s="212"/>
      <c r="M288" s="213"/>
      <c r="N288" s="213"/>
      <c r="O288" s="214"/>
      <c r="P288" s="106" t="b">
        <f t="shared" si="15"/>
        <v>0</v>
      </c>
    </row>
    <row r="289" spans="1:16" x14ac:dyDescent="0.3">
      <c r="A289" s="124">
        <v>11</v>
      </c>
      <c r="B289" s="37" t="s">
        <v>593</v>
      </c>
      <c r="C289" s="38">
        <v>3</v>
      </c>
      <c r="D289" s="125" t="s">
        <v>583</v>
      </c>
      <c r="E289" s="123" t="s">
        <v>596</v>
      </c>
      <c r="F289" s="126" t="s">
        <v>52</v>
      </c>
      <c r="G289" s="131"/>
      <c r="H289" s="122" t="s">
        <v>518</v>
      </c>
      <c r="I289" s="123" t="s">
        <v>523</v>
      </c>
      <c r="J289" s="212"/>
      <c r="K289" s="212"/>
      <c r="L289" s="212"/>
      <c r="M289" s="213"/>
      <c r="N289" s="213"/>
      <c r="O289" s="214"/>
      <c r="P289" s="106" t="b">
        <f t="shared" si="15"/>
        <v>0</v>
      </c>
    </row>
    <row r="290" spans="1:16" x14ac:dyDescent="0.3">
      <c r="A290" s="124">
        <v>11</v>
      </c>
      <c r="B290" s="37" t="s">
        <v>593</v>
      </c>
      <c r="C290" s="38">
        <v>4</v>
      </c>
      <c r="D290" s="125" t="s">
        <v>584</v>
      </c>
      <c r="E290" s="123" t="s">
        <v>597</v>
      </c>
      <c r="F290" s="131"/>
      <c r="G290" s="128" t="s">
        <v>53</v>
      </c>
      <c r="H290" s="154" t="s">
        <v>518</v>
      </c>
      <c r="I290" s="155" t="s">
        <v>523</v>
      </c>
      <c r="J290" s="212"/>
      <c r="K290" s="212"/>
      <c r="L290" s="212"/>
      <c r="M290" s="213"/>
      <c r="N290" s="213"/>
      <c r="O290" s="214"/>
      <c r="P290" s="106" t="b">
        <f t="shared" si="15"/>
        <v>0</v>
      </c>
    </row>
    <row r="291" spans="1:16" x14ac:dyDescent="0.3">
      <c r="A291" s="124">
        <v>11</v>
      </c>
      <c r="B291" s="37" t="s">
        <v>593</v>
      </c>
      <c r="C291" s="38">
        <v>5</v>
      </c>
      <c r="D291" s="125" t="s">
        <v>65</v>
      </c>
      <c r="E291" s="123" t="s">
        <v>598</v>
      </c>
      <c r="F291" s="131"/>
      <c r="G291" s="128" t="s">
        <v>53</v>
      </c>
      <c r="H291" s="154" t="s">
        <v>518</v>
      </c>
      <c r="I291" s="155" t="s">
        <v>523</v>
      </c>
      <c r="J291" s="212"/>
      <c r="K291" s="212"/>
      <c r="L291" s="212"/>
      <c r="M291" s="213"/>
      <c r="N291" s="213"/>
      <c r="O291" s="214"/>
      <c r="P291" s="106" t="b">
        <f t="shared" si="15"/>
        <v>0</v>
      </c>
    </row>
    <row r="292" spans="1:16" x14ac:dyDescent="0.3">
      <c r="A292" s="124">
        <v>11</v>
      </c>
      <c r="B292" s="37" t="s">
        <v>593</v>
      </c>
      <c r="C292" s="38">
        <v>6</v>
      </c>
      <c r="D292" s="125" t="s">
        <v>585</v>
      </c>
      <c r="E292" s="123" t="s">
        <v>599</v>
      </c>
      <c r="F292" s="131"/>
      <c r="G292" s="128" t="s">
        <v>53</v>
      </c>
      <c r="H292" s="154" t="s">
        <v>518</v>
      </c>
      <c r="I292" s="155" t="s">
        <v>523</v>
      </c>
      <c r="J292" s="212"/>
      <c r="K292" s="212"/>
      <c r="L292" s="212"/>
      <c r="M292" s="213"/>
      <c r="N292" s="213"/>
      <c r="O292" s="214"/>
      <c r="P292" s="106" t="b">
        <f t="shared" si="15"/>
        <v>0</v>
      </c>
    </row>
    <row r="293" spans="1:16" x14ac:dyDescent="0.3">
      <c r="A293" s="124">
        <v>11</v>
      </c>
      <c r="B293" s="37" t="s">
        <v>593</v>
      </c>
      <c r="C293" s="38">
        <v>7</v>
      </c>
      <c r="D293" s="125" t="s">
        <v>586</v>
      </c>
      <c r="E293" s="123" t="s">
        <v>600</v>
      </c>
      <c r="F293" s="126" t="s">
        <v>52</v>
      </c>
      <c r="G293" s="131"/>
      <c r="H293" s="122" t="s">
        <v>519</v>
      </c>
      <c r="I293" s="123" t="s">
        <v>610</v>
      </c>
      <c r="J293" s="212"/>
      <c r="K293" s="212"/>
      <c r="L293" s="212"/>
      <c r="M293" s="213"/>
      <c r="N293" s="213"/>
      <c r="O293" s="214"/>
      <c r="P293" s="106" t="b">
        <f t="shared" si="15"/>
        <v>0</v>
      </c>
    </row>
    <row r="294" spans="1:16" x14ac:dyDescent="0.3">
      <c r="A294" s="124">
        <v>11</v>
      </c>
      <c r="B294" s="37" t="s">
        <v>593</v>
      </c>
      <c r="C294" s="38">
        <v>8</v>
      </c>
      <c r="D294" s="125" t="s">
        <v>587</v>
      </c>
      <c r="E294" s="123" t="s">
        <v>601</v>
      </c>
      <c r="F294" s="131"/>
      <c r="G294" s="128" t="s">
        <v>53</v>
      </c>
      <c r="H294" s="154" t="s">
        <v>519</v>
      </c>
      <c r="I294" s="155" t="s">
        <v>610</v>
      </c>
      <c r="J294" s="212"/>
      <c r="K294" s="212"/>
      <c r="L294" s="212"/>
      <c r="M294" s="213"/>
      <c r="N294" s="213"/>
      <c r="O294" s="214"/>
      <c r="P294" s="106" t="b">
        <f t="shared" si="15"/>
        <v>0</v>
      </c>
    </row>
    <row r="295" spans="1:16" x14ac:dyDescent="0.3">
      <c r="A295" s="124">
        <v>11</v>
      </c>
      <c r="B295" s="37" t="s">
        <v>593</v>
      </c>
      <c r="C295" s="38">
        <v>9</v>
      </c>
      <c r="D295" s="125" t="s">
        <v>588</v>
      </c>
      <c r="E295" s="123" t="s">
        <v>602</v>
      </c>
      <c r="F295" s="131"/>
      <c r="G295" s="128" t="s">
        <v>53</v>
      </c>
      <c r="H295" s="154" t="s">
        <v>609</v>
      </c>
      <c r="I295" s="155" t="s">
        <v>608</v>
      </c>
      <c r="J295" s="212"/>
      <c r="K295" s="212"/>
      <c r="L295" s="212"/>
      <c r="M295" s="213"/>
      <c r="N295" s="213"/>
      <c r="O295" s="214"/>
      <c r="P295" s="106" t="b">
        <f t="shared" si="15"/>
        <v>0</v>
      </c>
    </row>
    <row r="296" spans="1:16" x14ac:dyDescent="0.3">
      <c r="A296" s="124">
        <v>11</v>
      </c>
      <c r="B296" s="37" t="s">
        <v>593</v>
      </c>
      <c r="C296" s="38">
        <v>10</v>
      </c>
      <c r="D296" s="181" t="s">
        <v>43</v>
      </c>
      <c r="E296" s="123" t="s">
        <v>603</v>
      </c>
      <c r="F296" s="126" t="s">
        <v>52</v>
      </c>
      <c r="G296" s="131"/>
      <c r="H296" s="122" t="s">
        <v>519</v>
      </c>
      <c r="I296" s="123" t="s">
        <v>610</v>
      </c>
      <c r="J296" s="212" t="s">
        <v>1383</v>
      </c>
      <c r="K296" s="212"/>
      <c r="L296" s="212"/>
      <c r="M296" s="213"/>
      <c r="N296" s="212" t="s">
        <v>1383</v>
      </c>
      <c r="O296" s="214"/>
      <c r="P296" s="106" t="b">
        <f t="shared" si="15"/>
        <v>1</v>
      </c>
    </row>
    <row r="297" spans="1:16" x14ac:dyDescent="0.3">
      <c r="A297" s="124">
        <v>11</v>
      </c>
      <c r="B297" s="37" t="s">
        <v>593</v>
      </c>
      <c r="C297" s="38">
        <v>11</v>
      </c>
      <c r="D297" s="125" t="s">
        <v>589</v>
      </c>
      <c r="E297" s="123" t="s">
        <v>604</v>
      </c>
      <c r="F297" s="131"/>
      <c r="G297" s="128" t="s">
        <v>53</v>
      </c>
      <c r="H297" s="154" t="s">
        <v>518</v>
      </c>
      <c r="I297" s="155" t="s">
        <v>523</v>
      </c>
      <c r="J297" s="212"/>
      <c r="K297" s="212"/>
      <c r="L297" s="212"/>
      <c r="M297" s="213"/>
      <c r="N297" s="213"/>
      <c r="O297" s="214"/>
      <c r="P297" s="106" t="b">
        <f t="shared" si="15"/>
        <v>0</v>
      </c>
    </row>
    <row r="298" spans="1:16" x14ac:dyDescent="0.3">
      <c r="A298" s="124">
        <v>11</v>
      </c>
      <c r="B298" s="37" t="s">
        <v>593</v>
      </c>
      <c r="C298" s="38">
        <v>12</v>
      </c>
      <c r="D298" s="125" t="s">
        <v>590</v>
      </c>
      <c r="E298" s="123" t="s">
        <v>605</v>
      </c>
      <c r="F298" s="131"/>
      <c r="G298" s="128" t="s">
        <v>53</v>
      </c>
      <c r="H298" s="154" t="s">
        <v>518</v>
      </c>
      <c r="I298" s="155" t="s">
        <v>523</v>
      </c>
      <c r="J298" s="212"/>
      <c r="K298" s="212"/>
      <c r="L298" s="212"/>
      <c r="M298" s="213"/>
      <c r="N298" s="213"/>
      <c r="O298" s="214"/>
      <c r="P298" s="106" t="b">
        <f t="shared" si="15"/>
        <v>0</v>
      </c>
    </row>
    <row r="299" spans="1:16" x14ac:dyDescent="0.3">
      <c r="A299" s="124">
        <v>11</v>
      </c>
      <c r="B299" s="37" t="s">
        <v>593</v>
      </c>
      <c r="C299" s="38">
        <v>13</v>
      </c>
      <c r="D299" s="125" t="s">
        <v>591</v>
      </c>
      <c r="E299" s="123" t="s">
        <v>606</v>
      </c>
      <c r="F299" s="131"/>
      <c r="G299" s="128" t="s">
        <v>53</v>
      </c>
      <c r="H299" s="154" t="s">
        <v>609</v>
      </c>
      <c r="I299" s="155" t="s">
        <v>608</v>
      </c>
      <c r="J299" s="212"/>
      <c r="K299" s="212"/>
      <c r="L299" s="212"/>
      <c r="M299" s="213"/>
      <c r="N299" s="213"/>
      <c r="O299" s="214"/>
      <c r="P299" s="106" t="b">
        <f t="shared" si="15"/>
        <v>0</v>
      </c>
    </row>
    <row r="300" spans="1:16" ht="19.5" thickBot="1" x14ac:dyDescent="0.35">
      <c r="A300" s="132">
        <v>11</v>
      </c>
      <c r="B300" s="39" t="s">
        <v>593</v>
      </c>
      <c r="C300" s="45">
        <v>14</v>
      </c>
      <c r="D300" s="156" t="s">
        <v>592</v>
      </c>
      <c r="E300" s="159" t="s">
        <v>607</v>
      </c>
      <c r="F300" s="157" t="s">
        <v>52</v>
      </c>
      <c r="G300" s="174"/>
      <c r="H300" s="158" t="s">
        <v>519</v>
      </c>
      <c r="I300" s="159" t="s">
        <v>610</v>
      </c>
      <c r="J300" s="221"/>
      <c r="K300" s="221"/>
      <c r="L300" s="221"/>
      <c r="M300" s="222"/>
      <c r="N300" s="222"/>
      <c r="O300" s="223"/>
      <c r="P300" s="106" t="b">
        <f t="shared" si="15"/>
        <v>0</v>
      </c>
    </row>
    <row r="301" spans="1:16" ht="19.5" hidden="1" thickBot="1" x14ac:dyDescent="0.3">
      <c r="A301" s="182">
        <v>11</v>
      </c>
      <c r="B301" s="183" t="s">
        <v>593</v>
      </c>
      <c r="C301" s="21">
        <f>COUNTA(C287:C300)</f>
        <v>14</v>
      </c>
      <c r="D301" s="49" t="s">
        <v>1</v>
      </c>
      <c r="E301" s="49" t="s">
        <v>1374</v>
      </c>
      <c r="F301" s="21">
        <f>COUNTA(F287:F300)</f>
        <v>4</v>
      </c>
      <c r="G301" s="21">
        <f>COUNTA(G287:G300)</f>
        <v>10</v>
      </c>
      <c r="H301" s="300" t="s">
        <v>3</v>
      </c>
      <c r="I301" s="301"/>
      <c r="J301" s="111">
        <f t="shared" ref="J301:O301" si="16">COUNTA(J287:J300)</f>
        <v>1</v>
      </c>
      <c r="K301" s="111">
        <f t="shared" si="16"/>
        <v>0</v>
      </c>
      <c r="L301" s="111">
        <f t="shared" si="16"/>
        <v>0</v>
      </c>
      <c r="M301" s="111">
        <f t="shared" si="16"/>
        <v>0</v>
      </c>
      <c r="N301" s="111">
        <f t="shared" si="16"/>
        <v>1</v>
      </c>
      <c r="O301" s="112">
        <f t="shared" si="16"/>
        <v>0</v>
      </c>
      <c r="P301" s="108">
        <f>COUNTIF(P287:P300,TRUE)</f>
        <v>1</v>
      </c>
    </row>
    <row r="302" spans="1:16" x14ac:dyDescent="0.3">
      <c r="A302" s="124">
        <v>12</v>
      </c>
      <c r="B302" s="37" t="s">
        <v>630</v>
      </c>
      <c r="C302" s="38">
        <v>1</v>
      </c>
      <c r="D302" s="166" t="s">
        <v>611</v>
      </c>
      <c r="E302" s="123" t="s">
        <v>634</v>
      </c>
      <c r="F302" s="131"/>
      <c r="G302" s="128" t="s">
        <v>53</v>
      </c>
      <c r="H302" s="154" t="s">
        <v>661</v>
      </c>
      <c r="I302" s="155" t="s">
        <v>660</v>
      </c>
      <c r="J302" s="212"/>
      <c r="K302" s="212"/>
      <c r="L302" s="212"/>
      <c r="M302" s="213"/>
      <c r="N302" s="213"/>
      <c r="O302" s="214"/>
      <c r="P302" s="106" t="b">
        <f t="shared" si="15"/>
        <v>0</v>
      </c>
    </row>
    <row r="303" spans="1:16" x14ac:dyDescent="0.3">
      <c r="A303" s="124">
        <v>12</v>
      </c>
      <c r="B303" s="37" t="s">
        <v>630</v>
      </c>
      <c r="C303" s="38">
        <v>2</v>
      </c>
      <c r="D303" s="125" t="s">
        <v>631</v>
      </c>
      <c r="E303" s="123" t="s">
        <v>635</v>
      </c>
      <c r="F303" s="131"/>
      <c r="G303" s="128" t="s">
        <v>53</v>
      </c>
      <c r="H303" s="154" t="s">
        <v>661</v>
      </c>
      <c r="I303" s="155" t="s">
        <v>660</v>
      </c>
      <c r="J303" s="212"/>
      <c r="K303" s="212"/>
      <c r="L303" s="212"/>
      <c r="M303" s="213"/>
      <c r="N303" s="213"/>
      <c r="O303" s="214"/>
      <c r="P303" s="106" t="b">
        <f t="shared" si="15"/>
        <v>0</v>
      </c>
    </row>
    <row r="304" spans="1:16" x14ac:dyDescent="0.3">
      <c r="A304" s="124">
        <v>12</v>
      </c>
      <c r="B304" s="37" t="s">
        <v>630</v>
      </c>
      <c r="C304" s="38">
        <v>3</v>
      </c>
      <c r="D304" s="125" t="s">
        <v>612</v>
      </c>
      <c r="E304" s="123" t="s">
        <v>636</v>
      </c>
      <c r="F304" s="126" t="s">
        <v>52</v>
      </c>
      <c r="G304" s="131"/>
      <c r="H304" s="122" t="s">
        <v>521</v>
      </c>
      <c r="I304" s="123" t="s">
        <v>525</v>
      </c>
      <c r="J304" s="212"/>
      <c r="K304" s="212"/>
      <c r="L304" s="212"/>
      <c r="M304" s="213"/>
      <c r="N304" s="213"/>
      <c r="O304" s="214"/>
      <c r="P304" s="106" t="b">
        <f t="shared" si="15"/>
        <v>0</v>
      </c>
    </row>
    <row r="305" spans="1:16" x14ac:dyDescent="0.3">
      <c r="A305" s="124">
        <v>12</v>
      </c>
      <c r="B305" s="37" t="s">
        <v>630</v>
      </c>
      <c r="C305" s="38">
        <v>4</v>
      </c>
      <c r="D305" s="125" t="s">
        <v>613</v>
      </c>
      <c r="E305" s="123" t="s">
        <v>637</v>
      </c>
      <c r="F305" s="126" t="s">
        <v>52</v>
      </c>
      <c r="G305" s="131"/>
      <c r="H305" s="122" t="s">
        <v>521</v>
      </c>
      <c r="I305" s="123" t="s">
        <v>525</v>
      </c>
      <c r="J305" s="212"/>
      <c r="K305" s="212"/>
      <c r="L305" s="212"/>
      <c r="M305" s="213"/>
      <c r="N305" s="213"/>
      <c r="O305" s="214"/>
      <c r="P305" s="106" t="b">
        <f t="shared" si="15"/>
        <v>0</v>
      </c>
    </row>
    <row r="306" spans="1:16" x14ac:dyDescent="0.3">
      <c r="A306" s="124">
        <v>12</v>
      </c>
      <c r="B306" s="37" t="s">
        <v>630</v>
      </c>
      <c r="C306" s="38">
        <v>5</v>
      </c>
      <c r="D306" s="125" t="s">
        <v>614</v>
      </c>
      <c r="E306" s="123" t="s">
        <v>638</v>
      </c>
      <c r="F306" s="126" t="s">
        <v>52</v>
      </c>
      <c r="G306" s="131"/>
      <c r="H306" s="142" t="s">
        <v>520</v>
      </c>
      <c r="I306" s="123" t="s">
        <v>526</v>
      </c>
      <c r="J306" s="212"/>
      <c r="K306" s="212"/>
      <c r="L306" s="212"/>
      <c r="M306" s="213"/>
      <c r="N306" s="213"/>
      <c r="O306" s="214"/>
      <c r="P306" s="106" t="b">
        <f t="shared" si="15"/>
        <v>0</v>
      </c>
    </row>
    <row r="307" spans="1:16" x14ac:dyDescent="0.3">
      <c r="A307" s="124">
        <v>12</v>
      </c>
      <c r="B307" s="37" t="s">
        <v>630</v>
      </c>
      <c r="C307" s="38">
        <v>6</v>
      </c>
      <c r="D307" s="125" t="s">
        <v>632</v>
      </c>
      <c r="E307" s="123" t="s">
        <v>639</v>
      </c>
      <c r="F307" s="131"/>
      <c r="G307" s="128" t="s">
        <v>53</v>
      </c>
      <c r="H307" s="154" t="s">
        <v>661</v>
      </c>
      <c r="I307" s="155" t="s">
        <v>660</v>
      </c>
      <c r="J307" s="212"/>
      <c r="K307" s="212"/>
      <c r="L307" s="212"/>
      <c r="M307" s="213"/>
      <c r="N307" s="213"/>
      <c r="O307" s="214"/>
      <c r="P307" s="106" t="b">
        <f t="shared" si="15"/>
        <v>0</v>
      </c>
    </row>
    <row r="308" spans="1:16" x14ac:dyDescent="0.3">
      <c r="A308" s="124">
        <v>12</v>
      </c>
      <c r="B308" s="37" t="s">
        <v>630</v>
      </c>
      <c r="C308" s="38">
        <v>7</v>
      </c>
      <c r="D308" s="125" t="s">
        <v>615</v>
      </c>
      <c r="E308" s="123" t="s">
        <v>640</v>
      </c>
      <c r="F308" s="126" t="s">
        <v>52</v>
      </c>
      <c r="G308" s="131"/>
      <c r="H308" s="142" t="s">
        <v>520</v>
      </c>
      <c r="I308" s="123" t="s">
        <v>526</v>
      </c>
      <c r="J308" s="212"/>
      <c r="K308" s="212"/>
      <c r="L308" s="212"/>
      <c r="M308" s="213"/>
      <c r="N308" s="213"/>
      <c r="O308" s="214"/>
      <c r="P308" s="106" t="b">
        <f t="shared" si="15"/>
        <v>0</v>
      </c>
    </row>
    <row r="309" spans="1:16" x14ac:dyDescent="0.3">
      <c r="A309" s="124">
        <v>12</v>
      </c>
      <c r="B309" s="37" t="s">
        <v>630</v>
      </c>
      <c r="C309" s="38">
        <v>8</v>
      </c>
      <c r="D309" s="125" t="s">
        <v>616</v>
      </c>
      <c r="E309" s="123" t="s">
        <v>641</v>
      </c>
      <c r="F309" s="131"/>
      <c r="G309" s="128" t="s">
        <v>53</v>
      </c>
      <c r="H309" s="154" t="s">
        <v>661</v>
      </c>
      <c r="I309" s="155" t="s">
        <v>660</v>
      </c>
      <c r="J309" s="212"/>
      <c r="K309" s="212"/>
      <c r="L309" s="212"/>
      <c r="M309" s="213"/>
      <c r="N309" s="213"/>
      <c r="O309" s="214"/>
      <c r="P309" s="106" t="b">
        <f t="shared" si="15"/>
        <v>0</v>
      </c>
    </row>
    <row r="310" spans="1:16" x14ac:dyDescent="0.3">
      <c r="A310" s="124">
        <v>12</v>
      </c>
      <c r="B310" s="37" t="s">
        <v>630</v>
      </c>
      <c r="C310" s="38">
        <v>9</v>
      </c>
      <c r="D310" s="125" t="s">
        <v>617</v>
      </c>
      <c r="E310" s="123" t="s">
        <v>642</v>
      </c>
      <c r="F310" s="126" t="s">
        <v>52</v>
      </c>
      <c r="G310" s="131"/>
      <c r="H310" s="122" t="s">
        <v>521</v>
      </c>
      <c r="I310" s="123" t="s">
        <v>525</v>
      </c>
      <c r="J310" s="212"/>
      <c r="K310" s="212"/>
      <c r="L310" s="212"/>
      <c r="M310" s="213"/>
      <c r="N310" s="213"/>
      <c r="O310" s="214"/>
      <c r="P310" s="106" t="b">
        <f t="shared" si="15"/>
        <v>0</v>
      </c>
    </row>
    <row r="311" spans="1:16" x14ac:dyDescent="0.3">
      <c r="A311" s="124">
        <v>12</v>
      </c>
      <c r="B311" s="37" t="s">
        <v>630</v>
      </c>
      <c r="C311" s="38">
        <v>10</v>
      </c>
      <c r="D311" s="125" t="s">
        <v>618</v>
      </c>
      <c r="E311" s="123" t="s">
        <v>643</v>
      </c>
      <c r="F311" s="126" t="s">
        <v>52</v>
      </c>
      <c r="G311" s="131"/>
      <c r="H311" s="142" t="s">
        <v>520</v>
      </c>
      <c r="I311" s="123" t="s">
        <v>526</v>
      </c>
      <c r="J311" s="212"/>
      <c r="K311" s="212"/>
      <c r="L311" s="212"/>
      <c r="M311" s="213"/>
      <c r="N311" s="213"/>
      <c r="O311" s="214"/>
      <c r="P311" s="106" t="b">
        <f t="shared" si="15"/>
        <v>0</v>
      </c>
    </row>
    <row r="312" spans="1:16" x14ac:dyDescent="0.3">
      <c r="A312" s="124">
        <v>12</v>
      </c>
      <c r="B312" s="37" t="s">
        <v>630</v>
      </c>
      <c r="C312" s="38">
        <v>11</v>
      </c>
      <c r="D312" s="125" t="s">
        <v>197</v>
      </c>
      <c r="E312" s="123" t="s">
        <v>644</v>
      </c>
      <c r="F312" s="131"/>
      <c r="G312" s="128" t="s">
        <v>53</v>
      </c>
      <c r="H312" s="154" t="s">
        <v>661</v>
      </c>
      <c r="I312" s="155" t="s">
        <v>660</v>
      </c>
      <c r="J312" s="212"/>
      <c r="K312" s="212"/>
      <c r="L312" s="212"/>
      <c r="M312" s="213"/>
      <c r="N312" s="213"/>
      <c r="O312" s="214"/>
      <c r="P312" s="106" t="b">
        <f t="shared" si="15"/>
        <v>0</v>
      </c>
    </row>
    <row r="313" spans="1:16" x14ac:dyDescent="0.3">
      <c r="A313" s="124">
        <v>12</v>
      </c>
      <c r="B313" s="37" t="s">
        <v>630</v>
      </c>
      <c r="C313" s="38">
        <v>12</v>
      </c>
      <c r="D313" s="125" t="s">
        <v>619</v>
      </c>
      <c r="E313" s="123" t="s">
        <v>645</v>
      </c>
      <c r="F313" s="126" t="s">
        <v>52</v>
      </c>
      <c r="G313" s="131"/>
      <c r="H313" s="142" t="s">
        <v>520</v>
      </c>
      <c r="I313" s="123" t="s">
        <v>526</v>
      </c>
      <c r="J313" s="212"/>
      <c r="K313" s="212"/>
      <c r="L313" s="212"/>
      <c r="M313" s="213"/>
      <c r="N313" s="213"/>
      <c r="O313" s="214"/>
      <c r="P313" s="106" t="b">
        <f t="shared" si="15"/>
        <v>0</v>
      </c>
    </row>
    <row r="314" spans="1:16" x14ac:dyDescent="0.3">
      <c r="A314" s="124">
        <v>12</v>
      </c>
      <c r="B314" s="37" t="s">
        <v>630</v>
      </c>
      <c r="C314" s="38">
        <v>13</v>
      </c>
      <c r="D314" s="125" t="s">
        <v>620</v>
      </c>
      <c r="E314" s="123" t="s">
        <v>646</v>
      </c>
      <c r="F314" s="126" t="s">
        <v>52</v>
      </c>
      <c r="G314" s="131"/>
      <c r="H314" s="122" t="s">
        <v>522</v>
      </c>
      <c r="I314" s="123" t="s">
        <v>526</v>
      </c>
      <c r="J314" s="212"/>
      <c r="K314" s="212"/>
      <c r="L314" s="212"/>
      <c r="M314" s="213"/>
      <c r="N314" s="213"/>
      <c r="O314" s="214"/>
      <c r="P314" s="106" t="b">
        <f t="shared" si="15"/>
        <v>0</v>
      </c>
    </row>
    <row r="315" spans="1:16" x14ac:dyDescent="0.3">
      <c r="A315" s="124">
        <v>12</v>
      </c>
      <c r="B315" s="37" t="s">
        <v>630</v>
      </c>
      <c r="C315" s="38">
        <v>14</v>
      </c>
      <c r="D315" s="125" t="s">
        <v>621</v>
      </c>
      <c r="E315" s="123" t="s">
        <v>647</v>
      </c>
      <c r="F315" s="126" t="s">
        <v>52</v>
      </c>
      <c r="G315" s="131"/>
      <c r="H315" s="122" t="s">
        <v>521</v>
      </c>
      <c r="I315" s="123" t="s">
        <v>525</v>
      </c>
      <c r="J315" s="212"/>
      <c r="K315" s="212"/>
      <c r="L315" s="212"/>
      <c r="M315" s="213"/>
      <c r="N315" s="213"/>
      <c r="O315" s="214"/>
      <c r="P315" s="106" t="b">
        <f t="shared" si="15"/>
        <v>0</v>
      </c>
    </row>
    <row r="316" spans="1:16" x14ac:dyDescent="0.3">
      <c r="A316" s="124">
        <v>12</v>
      </c>
      <c r="B316" s="37" t="s">
        <v>630</v>
      </c>
      <c r="C316" s="38">
        <v>15</v>
      </c>
      <c r="D316" s="125" t="s">
        <v>156</v>
      </c>
      <c r="E316" s="123" t="s">
        <v>648</v>
      </c>
      <c r="F316" s="126" t="s">
        <v>52</v>
      </c>
      <c r="G316" s="131"/>
      <c r="H316" s="122" t="s">
        <v>521</v>
      </c>
      <c r="I316" s="123" t="s">
        <v>525</v>
      </c>
      <c r="J316" s="212"/>
      <c r="K316" s="212"/>
      <c r="L316" s="212"/>
      <c r="M316" s="213"/>
      <c r="N316" s="213"/>
      <c r="O316" s="214"/>
      <c r="P316" s="106" t="b">
        <f t="shared" si="15"/>
        <v>0</v>
      </c>
    </row>
    <row r="317" spans="1:16" x14ac:dyDescent="0.3">
      <c r="A317" s="124">
        <v>12</v>
      </c>
      <c r="B317" s="37" t="s">
        <v>630</v>
      </c>
      <c r="C317" s="38">
        <v>16</v>
      </c>
      <c r="D317" s="125" t="s">
        <v>622</v>
      </c>
      <c r="E317" s="123" t="s">
        <v>649</v>
      </c>
      <c r="F317" s="126" t="s">
        <v>52</v>
      </c>
      <c r="G317" s="131"/>
      <c r="H317" s="142" t="s">
        <v>520</v>
      </c>
      <c r="I317" s="123" t="s">
        <v>526</v>
      </c>
      <c r="J317" s="212"/>
      <c r="K317" s="212"/>
      <c r="L317" s="212"/>
      <c r="M317" s="213"/>
      <c r="N317" s="213"/>
      <c r="O317" s="214"/>
      <c r="P317" s="106" t="b">
        <f t="shared" si="15"/>
        <v>0</v>
      </c>
    </row>
    <row r="318" spans="1:16" x14ac:dyDescent="0.3">
      <c r="A318" s="124">
        <v>12</v>
      </c>
      <c r="B318" s="37" t="s">
        <v>630</v>
      </c>
      <c r="C318" s="38">
        <v>17</v>
      </c>
      <c r="D318" s="125" t="s">
        <v>43</v>
      </c>
      <c r="E318" s="123" t="s">
        <v>650</v>
      </c>
      <c r="F318" s="126" t="s">
        <v>52</v>
      </c>
      <c r="G318" s="131"/>
      <c r="H318" s="122" t="s">
        <v>521</v>
      </c>
      <c r="I318" s="123" t="s">
        <v>525</v>
      </c>
      <c r="J318" s="212"/>
      <c r="K318" s="212"/>
      <c r="L318" s="212"/>
      <c r="M318" s="213"/>
      <c r="N318" s="213"/>
      <c r="O318" s="214"/>
      <c r="P318" s="106" t="b">
        <f t="shared" si="15"/>
        <v>0</v>
      </c>
    </row>
    <row r="319" spans="1:16" x14ac:dyDescent="0.3">
      <c r="A319" s="124">
        <v>12</v>
      </c>
      <c r="B319" s="37" t="s">
        <v>630</v>
      </c>
      <c r="C319" s="38">
        <v>18</v>
      </c>
      <c r="D319" s="125" t="s">
        <v>623</v>
      </c>
      <c r="E319" s="123" t="s">
        <v>651</v>
      </c>
      <c r="F319" s="126" t="s">
        <v>52</v>
      </c>
      <c r="G319" s="131"/>
      <c r="H319" s="122" t="s">
        <v>521</v>
      </c>
      <c r="I319" s="123" t="s">
        <v>525</v>
      </c>
      <c r="J319" s="212"/>
      <c r="K319" s="212"/>
      <c r="L319" s="212"/>
      <c r="M319" s="213"/>
      <c r="N319" s="213"/>
      <c r="O319" s="214"/>
      <c r="P319" s="106" t="b">
        <f t="shared" si="15"/>
        <v>0</v>
      </c>
    </row>
    <row r="320" spans="1:16" x14ac:dyDescent="0.3">
      <c r="A320" s="124">
        <v>12</v>
      </c>
      <c r="B320" s="37" t="s">
        <v>630</v>
      </c>
      <c r="C320" s="38">
        <v>19</v>
      </c>
      <c r="D320" s="125" t="s">
        <v>46</v>
      </c>
      <c r="E320" s="123" t="s">
        <v>652</v>
      </c>
      <c r="F320" s="126" t="s">
        <v>52</v>
      </c>
      <c r="G320" s="131"/>
      <c r="H320" s="142" t="s">
        <v>520</v>
      </c>
      <c r="I320" s="123" t="s">
        <v>526</v>
      </c>
      <c r="J320" s="212"/>
      <c r="K320" s="212"/>
      <c r="L320" s="212"/>
      <c r="M320" s="213"/>
      <c r="N320" s="213"/>
      <c r="O320" s="214"/>
      <c r="P320" s="106" t="b">
        <f t="shared" si="15"/>
        <v>0</v>
      </c>
    </row>
    <row r="321" spans="1:16" x14ac:dyDescent="0.3">
      <c r="A321" s="124">
        <v>12</v>
      </c>
      <c r="B321" s="37" t="s">
        <v>630</v>
      </c>
      <c r="C321" s="38">
        <v>20</v>
      </c>
      <c r="D321" s="125" t="s">
        <v>624</v>
      </c>
      <c r="E321" s="123" t="s">
        <v>653</v>
      </c>
      <c r="F321" s="131"/>
      <c r="G321" s="128" t="s">
        <v>53</v>
      </c>
      <c r="H321" s="154" t="s">
        <v>661</v>
      </c>
      <c r="I321" s="155" t="s">
        <v>660</v>
      </c>
      <c r="J321" s="212"/>
      <c r="K321" s="212"/>
      <c r="L321" s="212"/>
      <c r="M321" s="213"/>
      <c r="N321" s="213"/>
      <c r="O321" s="214"/>
      <c r="P321" s="106" t="b">
        <f t="shared" si="15"/>
        <v>0</v>
      </c>
    </row>
    <row r="322" spans="1:16" x14ac:dyDescent="0.3">
      <c r="A322" s="124">
        <v>12</v>
      </c>
      <c r="B322" s="37" t="s">
        <v>630</v>
      </c>
      <c r="C322" s="38">
        <v>21</v>
      </c>
      <c r="D322" s="125" t="s">
        <v>625</v>
      </c>
      <c r="E322" s="123" t="s">
        <v>654</v>
      </c>
      <c r="F322" s="126" t="s">
        <v>52</v>
      </c>
      <c r="G322" s="131"/>
      <c r="H322" s="122" t="s">
        <v>521</v>
      </c>
      <c r="I322" s="123" t="s">
        <v>525</v>
      </c>
      <c r="J322" s="212"/>
      <c r="K322" s="212"/>
      <c r="L322" s="212"/>
      <c r="M322" s="213"/>
      <c r="N322" s="213"/>
      <c r="O322" s="214"/>
      <c r="P322" s="106" t="b">
        <f t="shared" si="15"/>
        <v>0</v>
      </c>
    </row>
    <row r="323" spans="1:16" x14ac:dyDescent="0.3">
      <c r="A323" s="124">
        <v>12</v>
      </c>
      <c r="B323" s="37" t="s">
        <v>630</v>
      </c>
      <c r="C323" s="38">
        <v>22</v>
      </c>
      <c r="D323" s="125" t="s">
        <v>633</v>
      </c>
      <c r="E323" s="123" t="s">
        <v>655</v>
      </c>
      <c r="F323" s="131"/>
      <c r="G323" s="128" t="s">
        <v>53</v>
      </c>
      <c r="H323" s="154" t="s">
        <v>661</v>
      </c>
      <c r="I323" s="155" t="s">
        <v>660</v>
      </c>
      <c r="J323" s="212"/>
      <c r="K323" s="212"/>
      <c r="L323" s="212"/>
      <c r="M323" s="213"/>
      <c r="N323" s="213"/>
      <c r="O323" s="214"/>
      <c r="P323" s="106" t="b">
        <f t="shared" si="15"/>
        <v>0</v>
      </c>
    </row>
    <row r="324" spans="1:16" x14ac:dyDescent="0.3">
      <c r="A324" s="124">
        <v>12</v>
      </c>
      <c r="B324" s="37" t="s">
        <v>630</v>
      </c>
      <c r="C324" s="38">
        <v>23</v>
      </c>
      <c r="D324" s="125" t="s">
        <v>626</v>
      </c>
      <c r="E324" s="123" t="s">
        <v>656</v>
      </c>
      <c r="F324" s="126" t="s">
        <v>52</v>
      </c>
      <c r="G324" s="131"/>
      <c r="H324" s="122" t="s">
        <v>521</v>
      </c>
      <c r="I324" s="123" t="s">
        <v>525</v>
      </c>
      <c r="J324" s="212"/>
      <c r="K324" s="212"/>
      <c r="L324" s="212"/>
      <c r="M324" s="213"/>
      <c r="N324" s="213"/>
      <c r="O324" s="214"/>
      <c r="P324" s="106" t="b">
        <f t="shared" si="15"/>
        <v>0</v>
      </c>
    </row>
    <row r="325" spans="1:16" x14ac:dyDescent="0.3">
      <c r="A325" s="124">
        <v>12</v>
      </c>
      <c r="B325" s="37" t="s">
        <v>630</v>
      </c>
      <c r="C325" s="38">
        <v>24</v>
      </c>
      <c r="D325" s="125" t="s">
        <v>627</v>
      </c>
      <c r="E325" s="123" t="s">
        <v>657</v>
      </c>
      <c r="F325" s="126" t="s">
        <v>52</v>
      </c>
      <c r="G325" s="131"/>
      <c r="H325" s="122" t="s">
        <v>522</v>
      </c>
      <c r="I325" s="123" t="s">
        <v>526</v>
      </c>
      <c r="J325" s="212"/>
      <c r="K325" s="212" t="s">
        <v>1383</v>
      </c>
      <c r="L325" s="212"/>
      <c r="M325" s="213"/>
      <c r="N325" s="212" t="s">
        <v>1383</v>
      </c>
      <c r="O325" s="214"/>
      <c r="P325" s="106" t="b">
        <f t="shared" si="15"/>
        <v>1</v>
      </c>
    </row>
    <row r="326" spans="1:16" x14ac:dyDescent="0.3">
      <c r="A326" s="124">
        <v>12</v>
      </c>
      <c r="B326" s="37" t="s">
        <v>630</v>
      </c>
      <c r="C326" s="38">
        <v>25</v>
      </c>
      <c r="D326" s="125" t="s">
        <v>628</v>
      </c>
      <c r="E326" s="123" t="s">
        <v>658</v>
      </c>
      <c r="F326" s="126" t="s">
        <v>52</v>
      </c>
      <c r="G326" s="131"/>
      <c r="H326" s="122" t="s">
        <v>521</v>
      </c>
      <c r="I326" s="123" t="s">
        <v>525</v>
      </c>
      <c r="J326" s="212"/>
      <c r="K326" s="212"/>
      <c r="L326" s="212"/>
      <c r="M326" s="213"/>
      <c r="N326" s="213"/>
      <c r="O326" s="214"/>
      <c r="P326" s="106" t="b">
        <f t="shared" si="15"/>
        <v>0</v>
      </c>
    </row>
    <row r="327" spans="1:16" ht="19.5" thickBot="1" x14ac:dyDescent="0.35">
      <c r="A327" s="124">
        <v>12</v>
      </c>
      <c r="B327" s="37" t="s">
        <v>630</v>
      </c>
      <c r="C327" s="38">
        <v>26</v>
      </c>
      <c r="D327" s="166" t="s">
        <v>629</v>
      </c>
      <c r="E327" s="123" t="s">
        <v>659</v>
      </c>
      <c r="F327" s="126" t="s">
        <v>52</v>
      </c>
      <c r="G327" s="131"/>
      <c r="H327" s="122" t="s">
        <v>521</v>
      </c>
      <c r="I327" s="123" t="s">
        <v>525</v>
      </c>
      <c r="J327" s="212"/>
      <c r="K327" s="212"/>
      <c r="L327" s="212"/>
      <c r="M327" s="213"/>
      <c r="N327" s="213"/>
      <c r="O327" s="214"/>
      <c r="P327" s="106" t="b">
        <f t="shared" si="15"/>
        <v>0</v>
      </c>
    </row>
    <row r="328" spans="1:16" ht="19.5" hidden="1" thickBot="1" x14ac:dyDescent="0.3">
      <c r="A328" s="177">
        <v>12</v>
      </c>
      <c r="B328" s="178" t="s">
        <v>630</v>
      </c>
      <c r="C328" s="179">
        <f>COUNTA(C302:C327)</f>
        <v>26</v>
      </c>
      <c r="D328" s="180" t="s">
        <v>1</v>
      </c>
      <c r="E328" s="180" t="s">
        <v>1374</v>
      </c>
      <c r="F328" s="179">
        <f>COUNTA(F302:F327)</f>
        <v>19</v>
      </c>
      <c r="G328" s="179">
        <f>COUNTA(G302:G327)</f>
        <v>7</v>
      </c>
      <c r="H328" s="302" t="s">
        <v>3</v>
      </c>
      <c r="I328" s="303"/>
      <c r="J328" s="109">
        <f>COUNTA(J302:J327)</f>
        <v>0</v>
      </c>
      <c r="K328" s="109">
        <f t="shared" ref="K328:N328" si="17">COUNTA(K302:K327)</f>
        <v>1</v>
      </c>
      <c r="L328" s="109">
        <f t="shared" si="17"/>
        <v>0</v>
      </c>
      <c r="M328" s="109">
        <f t="shared" si="17"/>
        <v>0</v>
      </c>
      <c r="N328" s="109">
        <f t="shared" si="17"/>
        <v>1</v>
      </c>
      <c r="O328" s="110">
        <f>COUNTA(O302:O327)</f>
        <v>0</v>
      </c>
      <c r="P328" s="108">
        <f>COUNTIF(P302:P327,TRUE)</f>
        <v>1</v>
      </c>
    </row>
    <row r="329" spans="1:16" x14ac:dyDescent="0.3">
      <c r="A329" s="119">
        <v>13</v>
      </c>
      <c r="B329" s="41" t="s">
        <v>686</v>
      </c>
      <c r="C329" s="44">
        <v>1</v>
      </c>
      <c r="D329" s="150" t="s">
        <v>662</v>
      </c>
      <c r="E329" s="153" t="s">
        <v>714</v>
      </c>
      <c r="F329" s="151" t="s">
        <v>52</v>
      </c>
      <c r="G329" s="168"/>
      <c r="H329" s="152" t="s">
        <v>715</v>
      </c>
      <c r="I329" s="184" t="s">
        <v>691</v>
      </c>
      <c r="J329" s="218" t="s">
        <v>1383</v>
      </c>
      <c r="K329" s="218"/>
      <c r="L329" s="218"/>
      <c r="M329" s="219"/>
      <c r="N329" s="219"/>
      <c r="O329" s="220"/>
      <c r="P329" s="106" t="b">
        <f t="shared" si="15"/>
        <v>1</v>
      </c>
    </row>
    <row r="330" spans="1:16" x14ac:dyDescent="0.3">
      <c r="A330" s="124">
        <v>13</v>
      </c>
      <c r="B330" s="37" t="s">
        <v>686</v>
      </c>
      <c r="C330" s="50">
        <v>2</v>
      </c>
      <c r="D330" s="125" t="s">
        <v>663</v>
      </c>
      <c r="E330" s="185" t="s">
        <v>687</v>
      </c>
      <c r="F330" s="126" t="s">
        <v>52</v>
      </c>
      <c r="G330" s="131"/>
      <c r="H330" s="122" t="s">
        <v>715</v>
      </c>
      <c r="I330" s="185" t="s">
        <v>691</v>
      </c>
      <c r="J330" s="212"/>
      <c r="K330" s="212"/>
      <c r="L330" s="212"/>
      <c r="M330" s="213"/>
      <c r="N330" s="213"/>
      <c r="O330" s="214"/>
      <c r="P330" s="106" t="b">
        <f t="shared" si="15"/>
        <v>0</v>
      </c>
    </row>
    <row r="331" spans="1:16" x14ac:dyDescent="0.3">
      <c r="A331" s="124">
        <v>13</v>
      </c>
      <c r="B331" s="37" t="s">
        <v>686</v>
      </c>
      <c r="C331" s="50">
        <v>3</v>
      </c>
      <c r="D331" s="125" t="s">
        <v>664</v>
      </c>
      <c r="E331" s="185" t="s">
        <v>688</v>
      </c>
      <c r="F331" s="126" t="s">
        <v>52</v>
      </c>
      <c r="G331" s="131"/>
      <c r="H331" s="122" t="s">
        <v>258</v>
      </c>
      <c r="I331" s="123" t="s">
        <v>213</v>
      </c>
      <c r="J331" s="212" t="s">
        <v>1383</v>
      </c>
      <c r="K331" s="212"/>
      <c r="L331" s="212"/>
      <c r="M331" s="213"/>
      <c r="N331" s="213"/>
      <c r="O331" s="214"/>
      <c r="P331" s="106" t="b">
        <f t="shared" si="15"/>
        <v>1</v>
      </c>
    </row>
    <row r="332" spans="1:16" x14ac:dyDescent="0.3">
      <c r="A332" s="124">
        <v>13</v>
      </c>
      <c r="B332" s="37" t="s">
        <v>686</v>
      </c>
      <c r="C332" s="50">
        <v>4</v>
      </c>
      <c r="D332" s="125" t="s">
        <v>665</v>
      </c>
      <c r="E332" s="185" t="s">
        <v>689</v>
      </c>
      <c r="F332" s="126" t="s">
        <v>52</v>
      </c>
      <c r="G332" s="131"/>
      <c r="H332" s="122" t="s">
        <v>715</v>
      </c>
      <c r="I332" s="185" t="s">
        <v>691</v>
      </c>
      <c r="J332" s="212" t="s">
        <v>1383</v>
      </c>
      <c r="K332" s="212"/>
      <c r="L332" s="212"/>
      <c r="M332" s="213"/>
      <c r="N332" s="213"/>
      <c r="O332" s="214"/>
      <c r="P332" s="106" t="b">
        <f t="shared" si="15"/>
        <v>1</v>
      </c>
    </row>
    <row r="333" spans="1:16" x14ac:dyDescent="0.3">
      <c r="A333" s="124">
        <v>13</v>
      </c>
      <c r="B333" s="37" t="s">
        <v>686</v>
      </c>
      <c r="C333" s="50">
        <v>5</v>
      </c>
      <c r="D333" s="125" t="s">
        <v>666</v>
      </c>
      <c r="E333" s="185" t="s">
        <v>690</v>
      </c>
      <c r="F333" s="126" t="s">
        <v>52</v>
      </c>
      <c r="G333" s="131"/>
      <c r="H333" s="122" t="s">
        <v>170</v>
      </c>
      <c r="I333" s="123" t="s">
        <v>265</v>
      </c>
      <c r="J333" s="212"/>
      <c r="K333" s="212"/>
      <c r="L333" s="212"/>
      <c r="M333" s="213"/>
      <c r="N333" s="213"/>
      <c r="O333" s="214"/>
      <c r="P333" s="106" t="b">
        <f t="shared" si="15"/>
        <v>0</v>
      </c>
    </row>
    <row r="334" spans="1:16" x14ac:dyDescent="0.3">
      <c r="A334" s="124">
        <v>13</v>
      </c>
      <c r="B334" s="37" t="s">
        <v>686</v>
      </c>
      <c r="C334" s="50">
        <v>6</v>
      </c>
      <c r="D334" s="125" t="s">
        <v>667</v>
      </c>
      <c r="E334" s="185" t="s">
        <v>691</v>
      </c>
      <c r="F334" s="126" t="s">
        <v>52</v>
      </c>
      <c r="G334" s="131"/>
      <c r="H334" s="122" t="s">
        <v>262</v>
      </c>
      <c r="I334" s="123" t="s">
        <v>580</v>
      </c>
      <c r="J334" s="212" t="s">
        <v>1383</v>
      </c>
      <c r="K334" s="212"/>
      <c r="L334" s="212"/>
      <c r="M334" s="213"/>
      <c r="N334" s="213" t="s">
        <v>1383</v>
      </c>
      <c r="O334" s="214"/>
      <c r="P334" s="106" t="b">
        <f t="shared" si="15"/>
        <v>1</v>
      </c>
    </row>
    <row r="335" spans="1:16" x14ac:dyDescent="0.3">
      <c r="A335" s="124">
        <v>13</v>
      </c>
      <c r="B335" s="37" t="s">
        <v>686</v>
      </c>
      <c r="C335" s="50">
        <v>7</v>
      </c>
      <c r="D335" s="125" t="s">
        <v>668</v>
      </c>
      <c r="E335" s="185" t="s">
        <v>692</v>
      </c>
      <c r="F335" s="126" t="s">
        <v>52</v>
      </c>
      <c r="G335" s="131"/>
      <c r="H335" s="122" t="s">
        <v>258</v>
      </c>
      <c r="I335" s="123" t="s">
        <v>213</v>
      </c>
      <c r="J335" s="212" t="s">
        <v>1383</v>
      </c>
      <c r="K335" s="212"/>
      <c r="L335" s="212"/>
      <c r="M335" s="213"/>
      <c r="N335" s="213"/>
      <c r="O335" s="214"/>
      <c r="P335" s="106" t="b">
        <f t="shared" si="15"/>
        <v>1</v>
      </c>
    </row>
    <row r="336" spans="1:16" x14ac:dyDescent="0.3">
      <c r="A336" s="124">
        <v>13</v>
      </c>
      <c r="B336" s="37" t="s">
        <v>686</v>
      </c>
      <c r="C336" s="50">
        <v>8</v>
      </c>
      <c r="D336" s="125" t="s">
        <v>669</v>
      </c>
      <c r="E336" s="185" t="s">
        <v>693</v>
      </c>
      <c r="F336" s="126" t="s">
        <v>52</v>
      </c>
      <c r="G336" s="131"/>
      <c r="H336" s="122" t="s">
        <v>170</v>
      </c>
      <c r="I336" s="123" t="s">
        <v>265</v>
      </c>
      <c r="J336" s="212"/>
      <c r="K336" s="212"/>
      <c r="L336" s="212"/>
      <c r="M336" s="213"/>
      <c r="N336" s="213"/>
      <c r="O336" s="214"/>
      <c r="P336" s="106" t="b">
        <f t="shared" si="15"/>
        <v>0</v>
      </c>
    </row>
    <row r="337" spans="1:16" x14ac:dyDescent="0.3">
      <c r="A337" s="124">
        <v>13</v>
      </c>
      <c r="B337" s="37" t="s">
        <v>686</v>
      </c>
      <c r="C337" s="50">
        <v>9</v>
      </c>
      <c r="D337" s="125" t="s">
        <v>670</v>
      </c>
      <c r="E337" s="185" t="s">
        <v>716</v>
      </c>
      <c r="F337" s="126" t="s">
        <v>52</v>
      </c>
      <c r="G337" s="131"/>
      <c r="H337" s="122" t="s">
        <v>258</v>
      </c>
      <c r="I337" s="123" t="s">
        <v>213</v>
      </c>
      <c r="J337" s="212" t="s">
        <v>1383</v>
      </c>
      <c r="K337" s="212"/>
      <c r="L337" s="212"/>
      <c r="M337" s="213"/>
      <c r="N337" s="213"/>
      <c r="O337" s="214"/>
      <c r="P337" s="106" t="b">
        <f t="shared" si="15"/>
        <v>1</v>
      </c>
    </row>
    <row r="338" spans="1:16" x14ac:dyDescent="0.3">
      <c r="A338" s="124">
        <v>13</v>
      </c>
      <c r="B338" s="37" t="s">
        <v>686</v>
      </c>
      <c r="C338" s="50">
        <v>10</v>
      </c>
      <c r="D338" s="125" t="s">
        <v>671</v>
      </c>
      <c r="E338" s="185" t="s">
        <v>694</v>
      </c>
      <c r="F338" s="126" t="s">
        <v>52</v>
      </c>
      <c r="G338" s="131"/>
      <c r="H338" s="122" t="s">
        <v>715</v>
      </c>
      <c r="I338" s="185" t="s">
        <v>691</v>
      </c>
      <c r="J338" s="212" t="s">
        <v>1383</v>
      </c>
      <c r="K338" s="212"/>
      <c r="L338" s="212"/>
      <c r="M338" s="213"/>
      <c r="N338" s="213"/>
      <c r="O338" s="214"/>
      <c r="P338" s="106" t="b">
        <f t="shared" si="15"/>
        <v>1</v>
      </c>
    </row>
    <row r="339" spans="1:16" x14ac:dyDescent="0.3">
      <c r="A339" s="124">
        <v>13</v>
      </c>
      <c r="B339" s="37" t="s">
        <v>686</v>
      </c>
      <c r="C339" s="50">
        <v>11</v>
      </c>
      <c r="D339" s="125" t="s">
        <v>672</v>
      </c>
      <c r="E339" s="185" t="s">
        <v>695</v>
      </c>
      <c r="F339" s="126" t="s">
        <v>52</v>
      </c>
      <c r="G339" s="131"/>
      <c r="H339" s="122" t="s">
        <v>267</v>
      </c>
      <c r="I339" s="123" t="s">
        <v>268</v>
      </c>
      <c r="J339" s="212" t="s">
        <v>1383</v>
      </c>
      <c r="K339" s="212"/>
      <c r="L339" s="212"/>
      <c r="M339" s="213"/>
      <c r="N339" s="213"/>
      <c r="O339" s="214"/>
      <c r="P339" s="106" t="b">
        <f t="shared" si="15"/>
        <v>1</v>
      </c>
    </row>
    <row r="340" spans="1:16" x14ac:dyDescent="0.3">
      <c r="A340" s="124">
        <v>13</v>
      </c>
      <c r="B340" s="37" t="s">
        <v>686</v>
      </c>
      <c r="C340" s="50">
        <v>12</v>
      </c>
      <c r="D340" s="125" t="s">
        <v>673</v>
      </c>
      <c r="E340" s="185" t="s">
        <v>696</v>
      </c>
      <c r="F340" s="126"/>
      <c r="G340" s="128" t="s">
        <v>53</v>
      </c>
      <c r="H340" s="154" t="s">
        <v>715</v>
      </c>
      <c r="I340" s="186" t="s">
        <v>691</v>
      </c>
      <c r="J340" s="212"/>
      <c r="K340" s="212"/>
      <c r="L340" s="212"/>
      <c r="M340" s="213"/>
      <c r="N340" s="213"/>
      <c r="O340" s="214"/>
      <c r="P340" s="106" t="b">
        <f t="shared" si="15"/>
        <v>0</v>
      </c>
    </row>
    <row r="341" spans="1:16" x14ac:dyDescent="0.3">
      <c r="A341" s="124">
        <v>13</v>
      </c>
      <c r="B341" s="37" t="s">
        <v>686</v>
      </c>
      <c r="C341" s="50">
        <v>13</v>
      </c>
      <c r="D341" s="125" t="s">
        <v>674</v>
      </c>
      <c r="E341" s="185" t="s">
        <v>697</v>
      </c>
      <c r="F341" s="126" t="s">
        <v>52</v>
      </c>
      <c r="G341" s="131"/>
      <c r="H341" s="122" t="s">
        <v>258</v>
      </c>
      <c r="I341" s="123" t="s">
        <v>213</v>
      </c>
      <c r="J341" s="212" t="s">
        <v>1383</v>
      </c>
      <c r="K341" s="212"/>
      <c r="L341" s="212"/>
      <c r="M341" s="213"/>
      <c r="N341" s="213"/>
      <c r="O341" s="214"/>
      <c r="P341" s="106" t="b">
        <f t="shared" si="15"/>
        <v>1</v>
      </c>
    </row>
    <row r="342" spans="1:16" x14ac:dyDescent="0.3">
      <c r="A342" s="124">
        <v>13</v>
      </c>
      <c r="B342" s="37" t="s">
        <v>686</v>
      </c>
      <c r="C342" s="50">
        <v>14</v>
      </c>
      <c r="D342" s="125" t="s">
        <v>675</v>
      </c>
      <c r="E342" s="185" t="s">
        <v>698</v>
      </c>
      <c r="F342" s="126" t="s">
        <v>52</v>
      </c>
      <c r="G342" s="131"/>
      <c r="H342" s="122" t="s">
        <v>170</v>
      </c>
      <c r="I342" s="123" t="s">
        <v>265</v>
      </c>
      <c r="J342" s="212"/>
      <c r="K342" s="212"/>
      <c r="L342" s="212"/>
      <c r="M342" s="213"/>
      <c r="N342" s="213"/>
      <c r="O342" s="214"/>
      <c r="P342" s="106" t="b">
        <f t="shared" si="15"/>
        <v>0</v>
      </c>
    </row>
    <row r="343" spans="1:16" x14ac:dyDescent="0.3">
      <c r="A343" s="124">
        <v>13</v>
      </c>
      <c r="B343" s="37" t="s">
        <v>686</v>
      </c>
      <c r="C343" s="50">
        <v>15</v>
      </c>
      <c r="D343" s="125" t="s">
        <v>676</v>
      </c>
      <c r="E343" s="185" t="s">
        <v>699</v>
      </c>
      <c r="F343" s="126" t="s">
        <v>52</v>
      </c>
      <c r="G343" s="131"/>
      <c r="H343" s="122" t="s">
        <v>715</v>
      </c>
      <c r="I343" s="185" t="s">
        <v>691</v>
      </c>
      <c r="J343" s="212"/>
      <c r="K343" s="212"/>
      <c r="L343" s="212"/>
      <c r="M343" s="213"/>
      <c r="N343" s="213"/>
      <c r="O343" s="214"/>
      <c r="P343" s="106" t="b">
        <f t="shared" si="15"/>
        <v>0</v>
      </c>
    </row>
    <row r="344" spans="1:16" x14ac:dyDescent="0.3">
      <c r="A344" s="124">
        <v>13</v>
      </c>
      <c r="B344" s="37" t="s">
        <v>686</v>
      </c>
      <c r="C344" s="50">
        <v>16</v>
      </c>
      <c r="D344" s="125" t="s">
        <v>677</v>
      </c>
      <c r="E344" s="185" t="s">
        <v>700</v>
      </c>
      <c r="F344" s="131"/>
      <c r="G344" s="128" t="s">
        <v>53</v>
      </c>
      <c r="H344" s="154" t="s">
        <v>715</v>
      </c>
      <c r="I344" s="186" t="s">
        <v>691</v>
      </c>
      <c r="J344" s="212"/>
      <c r="K344" s="212"/>
      <c r="L344" s="212"/>
      <c r="M344" s="213"/>
      <c r="N344" s="213"/>
      <c r="O344" s="214"/>
      <c r="P344" s="106" t="b">
        <f t="shared" si="15"/>
        <v>0</v>
      </c>
    </row>
    <row r="345" spans="1:16" x14ac:dyDescent="0.3">
      <c r="A345" s="124">
        <v>13</v>
      </c>
      <c r="B345" s="37" t="s">
        <v>686</v>
      </c>
      <c r="C345" s="50">
        <v>17</v>
      </c>
      <c r="D345" s="125" t="s">
        <v>678</v>
      </c>
      <c r="E345" s="185" t="s">
        <v>701</v>
      </c>
      <c r="F345" s="131"/>
      <c r="G345" s="128" t="s">
        <v>53</v>
      </c>
      <c r="H345" s="154" t="s">
        <v>715</v>
      </c>
      <c r="I345" s="186" t="s">
        <v>691</v>
      </c>
      <c r="J345" s="212"/>
      <c r="K345" s="212"/>
      <c r="L345" s="212"/>
      <c r="M345" s="213"/>
      <c r="N345" s="213"/>
      <c r="O345" s="214"/>
      <c r="P345" s="106" t="b">
        <f t="shared" si="15"/>
        <v>0</v>
      </c>
    </row>
    <row r="346" spans="1:16" x14ac:dyDescent="0.3">
      <c r="A346" s="124">
        <v>13</v>
      </c>
      <c r="B346" s="37" t="s">
        <v>686</v>
      </c>
      <c r="C346" s="50">
        <v>18</v>
      </c>
      <c r="D346" s="125" t="s">
        <v>43</v>
      </c>
      <c r="E346" s="185" t="s">
        <v>702</v>
      </c>
      <c r="F346" s="126" t="s">
        <v>52</v>
      </c>
      <c r="G346" s="128"/>
      <c r="H346" s="122" t="s">
        <v>262</v>
      </c>
      <c r="I346" s="123" t="s">
        <v>580</v>
      </c>
      <c r="J346" s="212" t="s">
        <v>1383</v>
      </c>
      <c r="K346" s="212"/>
      <c r="L346" s="212"/>
      <c r="M346" s="213"/>
      <c r="N346" s="213"/>
      <c r="O346" s="214"/>
      <c r="P346" s="106" t="b">
        <f t="shared" si="15"/>
        <v>1</v>
      </c>
    </row>
    <row r="347" spans="1:16" x14ac:dyDescent="0.3">
      <c r="A347" s="124">
        <v>13</v>
      </c>
      <c r="B347" s="37" t="s">
        <v>686</v>
      </c>
      <c r="C347" s="50">
        <v>19</v>
      </c>
      <c r="D347" s="125" t="s">
        <v>679</v>
      </c>
      <c r="E347" s="185" t="s">
        <v>703</v>
      </c>
      <c r="F347" s="126" t="s">
        <v>52</v>
      </c>
      <c r="G347" s="131"/>
      <c r="H347" s="122" t="s">
        <v>262</v>
      </c>
      <c r="I347" s="123" t="s">
        <v>580</v>
      </c>
      <c r="J347" s="212"/>
      <c r="K347" s="212"/>
      <c r="L347" s="212"/>
      <c r="M347" s="213"/>
      <c r="N347" s="213"/>
      <c r="O347" s="214"/>
      <c r="P347" s="106" t="b">
        <f t="shared" si="15"/>
        <v>0</v>
      </c>
    </row>
    <row r="348" spans="1:16" x14ac:dyDescent="0.3">
      <c r="A348" s="124">
        <v>13</v>
      </c>
      <c r="B348" s="37" t="s">
        <v>686</v>
      </c>
      <c r="C348" s="50">
        <v>20</v>
      </c>
      <c r="D348" s="125" t="s">
        <v>84</v>
      </c>
      <c r="E348" s="185" t="s">
        <v>704</v>
      </c>
      <c r="F348" s="126" t="s">
        <v>52</v>
      </c>
      <c r="G348" s="131"/>
      <c r="H348" s="122" t="s">
        <v>262</v>
      </c>
      <c r="I348" s="123" t="s">
        <v>580</v>
      </c>
      <c r="J348" s="212"/>
      <c r="K348" s="212"/>
      <c r="L348" s="212"/>
      <c r="M348" s="213"/>
      <c r="N348" s="213"/>
      <c r="O348" s="214"/>
      <c r="P348" s="106" t="b">
        <f t="shared" si="15"/>
        <v>0</v>
      </c>
    </row>
    <row r="349" spans="1:16" x14ac:dyDescent="0.3">
      <c r="A349" s="124">
        <v>13</v>
      </c>
      <c r="B349" s="37" t="s">
        <v>686</v>
      </c>
      <c r="C349" s="50">
        <v>21</v>
      </c>
      <c r="D349" s="125" t="s">
        <v>46</v>
      </c>
      <c r="E349" s="185" t="s">
        <v>705</v>
      </c>
      <c r="F349" s="126" t="s">
        <v>52</v>
      </c>
      <c r="G349" s="131"/>
      <c r="H349" s="122" t="s">
        <v>715</v>
      </c>
      <c r="I349" s="185" t="s">
        <v>691</v>
      </c>
      <c r="J349" s="212" t="s">
        <v>1383</v>
      </c>
      <c r="K349" s="212"/>
      <c r="L349" s="212"/>
      <c r="M349" s="213"/>
      <c r="N349" s="213"/>
      <c r="O349" s="214"/>
      <c r="P349" s="106" t="b">
        <f t="shared" si="15"/>
        <v>1</v>
      </c>
    </row>
    <row r="350" spans="1:16" x14ac:dyDescent="0.3">
      <c r="A350" s="124">
        <v>13</v>
      </c>
      <c r="B350" s="37" t="s">
        <v>686</v>
      </c>
      <c r="C350" s="50">
        <v>22</v>
      </c>
      <c r="D350" s="125" t="s">
        <v>202</v>
      </c>
      <c r="E350" s="185" t="s">
        <v>706</v>
      </c>
      <c r="F350" s="126" t="s">
        <v>52</v>
      </c>
      <c r="G350" s="131"/>
      <c r="H350" s="122" t="s">
        <v>262</v>
      </c>
      <c r="I350" s="123" t="s">
        <v>580</v>
      </c>
      <c r="J350" s="212"/>
      <c r="K350" s="212"/>
      <c r="L350" s="212"/>
      <c r="M350" s="213"/>
      <c r="N350" s="213"/>
      <c r="O350" s="214"/>
      <c r="P350" s="106" t="b">
        <f t="shared" si="15"/>
        <v>0</v>
      </c>
    </row>
    <row r="351" spans="1:16" x14ac:dyDescent="0.3">
      <c r="A351" s="124">
        <v>13</v>
      </c>
      <c r="B351" s="37" t="s">
        <v>686</v>
      </c>
      <c r="C351" s="50">
        <v>23</v>
      </c>
      <c r="D351" s="125" t="s">
        <v>544</v>
      </c>
      <c r="E351" s="185" t="s">
        <v>707</v>
      </c>
      <c r="F351" s="126" t="s">
        <v>52</v>
      </c>
      <c r="G351" s="131"/>
      <c r="H351" s="122" t="s">
        <v>258</v>
      </c>
      <c r="I351" s="123" t="s">
        <v>213</v>
      </c>
      <c r="J351" s="212" t="s">
        <v>1383</v>
      </c>
      <c r="K351" s="212"/>
      <c r="L351" s="212"/>
      <c r="M351" s="213"/>
      <c r="N351" s="213"/>
      <c r="O351" s="214"/>
      <c r="P351" s="106" t="b">
        <f t="shared" ref="P351:P414" si="18">IF(COUNTA(J351:O351)=0,FALSE,TRUE)</f>
        <v>1</v>
      </c>
    </row>
    <row r="352" spans="1:16" x14ac:dyDescent="0.3">
      <c r="A352" s="124">
        <v>13</v>
      </c>
      <c r="B352" s="37" t="s">
        <v>686</v>
      </c>
      <c r="C352" s="50">
        <v>24</v>
      </c>
      <c r="D352" s="125" t="s">
        <v>680</v>
      </c>
      <c r="E352" s="185" t="s">
        <v>708</v>
      </c>
      <c r="F352" s="126" t="s">
        <v>52</v>
      </c>
      <c r="G352" s="131"/>
      <c r="H352" s="122" t="s">
        <v>715</v>
      </c>
      <c r="I352" s="185" t="s">
        <v>691</v>
      </c>
      <c r="J352" s="212"/>
      <c r="K352" s="212"/>
      <c r="L352" s="212"/>
      <c r="M352" s="213"/>
      <c r="N352" s="213"/>
      <c r="O352" s="214"/>
      <c r="P352" s="106" t="b">
        <f t="shared" si="18"/>
        <v>0</v>
      </c>
    </row>
    <row r="353" spans="1:16" x14ac:dyDescent="0.3">
      <c r="A353" s="124">
        <v>13</v>
      </c>
      <c r="B353" s="37" t="s">
        <v>686</v>
      </c>
      <c r="C353" s="50">
        <v>25</v>
      </c>
      <c r="D353" s="125" t="s">
        <v>681</v>
      </c>
      <c r="E353" s="185" t="s">
        <v>709</v>
      </c>
      <c r="F353" s="126" t="s">
        <v>52</v>
      </c>
      <c r="G353" s="131"/>
      <c r="H353" s="122" t="s">
        <v>170</v>
      </c>
      <c r="I353" s="123" t="s">
        <v>265</v>
      </c>
      <c r="J353" s="212"/>
      <c r="K353" s="212"/>
      <c r="L353" s="212"/>
      <c r="M353" s="213"/>
      <c r="N353" s="213"/>
      <c r="O353" s="214"/>
      <c r="P353" s="106" t="b">
        <f t="shared" si="18"/>
        <v>0</v>
      </c>
    </row>
    <row r="354" spans="1:16" x14ac:dyDescent="0.3">
      <c r="A354" s="124">
        <v>13</v>
      </c>
      <c r="B354" s="37" t="s">
        <v>686</v>
      </c>
      <c r="C354" s="50">
        <v>26</v>
      </c>
      <c r="D354" s="125" t="s">
        <v>682</v>
      </c>
      <c r="E354" s="185" t="s">
        <v>710</v>
      </c>
      <c r="F354" s="131"/>
      <c r="G354" s="128" t="s">
        <v>53</v>
      </c>
      <c r="H354" s="154" t="s">
        <v>715</v>
      </c>
      <c r="I354" s="186" t="s">
        <v>691</v>
      </c>
      <c r="J354" s="212"/>
      <c r="K354" s="212"/>
      <c r="L354" s="212"/>
      <c r="M354" s="213"/>
      <c r="N354" s="213"/>
      <c r="O354" s="214"/>
      <c r="P354" s="106" t="b">
        <f t="shared" si="18"/>
        <v>0</v>
      </c>
    </row>
    <row r="355" spans="1:16" x14ac:dyDescent="0.3">
      <c r="A355" s="124">
        <v>13</v>
      </c>
      <c r="B355" s="37" t="s">
        <v>686</v>
      </c>
      <c r="C355" s="50">
        <v>27</v>
      </c>
      <c r="D355" s="125" t="s">
        <v>683</v>
      </c>
      <c r="E355" s="185" t="s">
        <v>711</v>
      </c>
      <c r="F355" s="126" t="s">
        <v>52</v>
      </c>
      <c r="G355" s="131"/>
      <c r="H355" s="122" t="s">
        <v>715</v>
      </c>
      <c r="I355" s="185" t="s">
        <v>691</v>
      </c>
      <c r="J355" s="212"/>
      <c r="K355" s="212"/>
      <c r="L355" s="212"/>
      <c r="M355" s="213"/>
      <c r="N355" s="213"/>
      <c r="O355" s="214"/>
      <c r="P355" s="106" t="b">
        <f t="shared" si="18"/>
        <v>0</v>
      </c>
    </row>
    <row r="356" spans="1:16" x14ac:dyDescent="0.3">
      <c r="A356" s="124">
        <v>13</v>
      </c>
      <c r="B356" s="37" t="s">
        <v>686</v>
      </c>
      <c r="C356" s="50">
        <v>28</v>
      </c>
      <c r="D356" s="125" t="s">
        <v>684</v>
      </c>
      <c r="E356" s="185" t="s">
        <v>712</v>
      </c>
      <c r="F356" s="126" t="s">
        <v>52</v>
      </c>
      <c r="G356" s="131"/>
      <c r="H356" s="122" t="s">
        <v>258</v>
      </c>
      <c r="I356" s="123" t="s">
        <v>213</v>
      </c>
      <c r="J356" s="212" t="s">
        <v>1383</v>
      </c>
      <c r="K356" s="212"/>
      <c r="L356" s="212"/>
      <c r="M356" s="213"/>
      <c r="N356" s="213"/>
      <c r="O356" s="214"/>
      <c r="P356" s="106" t="b">
        <f t="shared" si="18"/>
        <v>1</v>
      </c>
    </row>
    <row r="357" spans="1:16" ht="19.5" thickBot="1" x14ac:dyDescent="0.35">
      <c r="A357" s="132">
        <v>13</v>
      </c>
      <c r="B357" s="39" t="s">
        <v>686</v>
      </c>
      <c r="C357" s="45">
        <v>29</v>
      </c>
      <c r="D357" s="156" t="s">
        <v>685</v>
      </c>
      <c r="E357" s="159" t="s">
        <v>713</v>
      </c>
      <c r="F357" s="157" t="s">
        <v>52</v>
      </c>
      <c r="G357" s="174"/>
      <c r="H357" s="158" t="s">
        <v>170</v>
      </c>
      <c r="I357" s="159" t="s">
        <v>265</v>
      </c>
      <c r="J357" s="221" t="s">
        <v>1383</v>
      </c>
      <c r="K357" s="221"/>
      <c r="L357" s="221"/>
      <c r="M357" s="222"/>
      <c r="N357" s="222"/>
      <c r="O357" s="223"/>
      <c r="P357" s="106" t="b">
        <f t="shared" si="18"/>
        <v>1</v>
      </c>
    </row>
    <row r="358" spans="1:16" ht="19.5" hidden="1" thickBot="1" x14ac:dyDescent="0.3">
      <c r="A358" s="182">
        <v>13</v>
      </c>
      <c r="B358" s="34" t="s">
        <v>686</v>
      </c>
      <c r="C358" s="21">
        <f>COUNTA(C329:C357)</f>
        <v>29</v>
      </c>
      <c r="D358" s="49" t="s">
        <v>1</v>
      </c>
      <c r="E358" s="49" t="s">
        <v>1374</v>
      </c>
      <c r="F358" s="21">
        <f>COUNTA(F329:F357)</f>
        <v>25</v>
      </c>
      <c r="G358" s="21">
        <f>COUNTA(G329:G357)</f>
        <v>4</v>
      </c>
      <c r="H358" s="300" t="s">
        <v>3</v>
      </c>
      <c r="I358" s="301"/>
      <c r="J358" s="111">
        <f t="shared" ref="J358:O358" si="19">COUNTA(J329:J357)</f>
        <v>14</v>
      </c>
      <c r="K358" s="111">
        <f t="shared" si="19"/>
        <v>0</v>
      </c>
      <c r="L358" s="111">
        <f t="shared" si="19"/>
        <v>0</v>
      </c>
      <c r="M358" s="111">
        <f t="shared" si="19"/>
        <v>0</v>
      </c>
      <c r="N358" s="111">
        <f t="shared" si="19"/>
        <v>1</v>
      </c>
      <c r="O358" s="112">
        <f t="shared" si="19"/>
        <v>0</v>
      </c>
      <c r="P358" s="108">
        <f>COUNTIF(P329:P357,TRUE)</f>
        <v>14</v>
      </c>
    </row>
    <row r="359" spans="1:16" x14ac:dyDescent="0.3">
      <c r="A359" s="124">
        <v>14</v>
      </c>
      <c r="B359" s="37" t="s">
        <v>9</v>
      </c>
      <c r="C359" s="38">
        <v>1</v>
      </c>
      <c r="D359" s="166" t="s">
        <v>20</v>
      </c>
      <c r="E359" s="123" t="s">
        <v>728</v>
      </c>
      <c r="F359" s="126" t="s">
        <v>52</v>
      </c>
      <c r="G359" s="131"/>
      <c r="H359" s="122" t="s">
        <v>521</v>
      </c>
      <c r="I359" s="123" t="s">
        <v>525</v>
      </c>
      <c r="J359" s="212"/>
      <c r="K359" s="212"/>
      <c r="L359" s="212"/>
      <c r="M359" s="213"/>
      <c r="N359" s="213"/>
      <c r="O359" s="214"/>
      <c r="P359" s="106" t="b">
        <f t="shared" si="18"/>
        <v>0</v>
      </c>
    </row>
    <row r="360" spans="1:16" x14ac:dyDescent="0.3">
      <c r="A360" s="124">
        <v>14</v>
      </c>
      <c r="B360" s="37" t="s">
        <v>9</v>
      </c>
      <c r="C360" s="38">
        <v>2</v>
      </c>
      <c r="D360" s="125" t="s">
        <v>717</v>
      </c>
      <c r="E360" s="123" t="s">
        <v>729</v>
      </c>
      <c r="F360" s="131"/>
      <c r="G360" s="128" t="s">
        <v>53</v>
      </c>
      <c r="H360" s="154" t="s">
        <v>521</v>
      </c>
      <c r="I360" s="155" t="s">
        <v>525</v>
      </c>
      <c r="J360" s="212"/>
      <c r="K360" s="212"/>
      <c r="L360" s="212"/>
      <c r="M360" s="213"/>
      <c r="N360" s="213"/>
      <c r="O360" s="214"/>
      <c r="P360" s="106" t="b">
        <f t="shared" si="18"/>
        <v>0</v>
      </c>
    </row>
    <row r="361" spans="1:16" x14ac:dyDescent="0.3">
      <c r="A361" s="124">
        <v>14</v>
      </c>
      <c r="B361" s="37" t="s">
        <v>9</v>
      </c>
      <c r="C361" s="38">
        <v>3</v>
      </c>
      <c r="D361" s="125" t="s">
        <v>718</v>
      </c>
      <c r="E361" s="123" t="s">
        <v>730</v>
      </c>
      <c r="F361" s="131"/>
      <c r="G361" s="128" t="s">
        <v>53</v>
      </c>
      <c r="H361" s="154" t="s">
        <v>521</v>
      </c>
      <c r="I361" s="155" t="s">
        <v>525</v>
      </c>
      <c r="J361" s="212"/>
      <c r="K361" s="212"/>
      <c r="L361" s="212"/>
      <c r="M361" s="213"/>
      <c r="N361" s="213"/>
      <c r="O361" s="214"/>
      <c r="P361" s="106" t="b">
        <f t="shared" si="18"/>
        <v>0</v>
      </c>
    </row>
    <row r="362" spans="1:16" x14ac:dyDescent="0.3">
      <c r="A362" s="124">
        <v>14</v>
      </c>
      <c r="B362" s="37" t="s">
        <v>9</v>
      </c>
      <c r="C362" s="38">
        <v>4</v>
      </c>
      <c r="D362" s="125" t="s">
        <v>719</v>
      </c>
      <c r="E362" s="123" t="s">
        <v>731</v>
      </c>
      <c r="F362" s="126" t="s">
        <v>52</v>
      </c>
      <c r="G362" s="131"/>
      <c r="H362" s="122" t="s">
        <v>521</v>
      </c>
      <c r="I362" s="123" t="s">
        <v>525</v>
      </c>
      <c r="J362" s="212"/>
      <c r="K362" s="212"/>
      <c r="L362" s="212"/>
      <c r="M362" s="213"/>
      <c r="N362" s="213"/>
      <c r="O362" s="214"/>
      <c r="P362" s="106" t="b">
        <f t="shared" si="18"/>
        <v>0</v>
      </c>
    </row>
    <row r="363" spans="1:16" x14ac:dyDescent="0.3">
      <c r="A363" s="124">
        <v>14</v>
      </c>
      <c r="B363" s="37" t="s">
        <v>9</v>
      </c>
      <c r="C363" s="38">
        <v>5</v>
      </c>
      <c r="D363" s="125" t="s">
        <v>720</v>
      </c>
      <c r="E363" s="123" t="s">
        <v>732</v>
      </c>
      <c r="F363" s="126" t="s">
        <v>52</v>
      </c>
      <c r="G363" s="131"/>
      <c r="H363" s="142" t="s">
        <v>520</v>
      </c>
      <c r="I363" s="123" t="s">
        <v>526</v>
      </c>
      <c r="J363" s="212"/>
      <c r="K363" s="212"/>
      <c r="L363" s="212"/>
      <c r="M363" s="213"/>
      <c r="N363" s="213"/>
      <c r="O363" s="214"/>
      <c r="P363" s="106" t="b">
        <f t="shared" si="18"/>
        <v>0</v>
      </c>
    </row>
    <row r="364" spans="1:16" x14ac:dyDescent="0.3">
      <c r="A364" s="124">
        <v>14</v>
      </c>
      <c r="B364" s="37" t="s">
        <v>9</v>
      </c>
      <c r="C364" s="38">
        <v>6</v>
      </c>
      <c r="D364" s="125" t="s">
        <v>92</v>
      </c>
      <c r="E364" s="123" t="s">
        <v>733</v>
      </c>
      <c r="F364" s="131"/>
      <c r="G364" s="128" t="s">
        <v>53</v>
      </c>
      <c r="H364" s="154" t="s">
        <v>521</v>
      </c>
      <c r="I364" s="155" t="s">
        <v>525</v>
      </c>
      <c r="J364" s="212"/>
      <c r="K364" s="212"/>
      <c r="L364" s="212"/>
      <c r="M364" s="213"/>
      <c r="N364" s="213"/>
      <c r="O364" s="214"/>
      <c r="P364" s="106" t="b">
        <f t="shared" si="18"/>
        <v>0</v>
      </c>
    </row>
    <row r="365" spans="1:16" x14ac:dyDescent="0.3">
      <c r="A365" s="124">
        <v>14</v>
      </c>
      <c r="B365" s="37" t="s">
        <v>9</v>
      </c>
      <c r="C365" s="38">
        <v>7</v>
      </c>
      <c r="D365" s="125" t="s">
        <v>721</v>
      </c>
      <c r="E365" s="123" t="s">
        <v>734</v>
      </c>
      <c r="F365" s="126" t="s">
        <v>52</v>
      </c>
      <c r="G365" s="131"/>
      <c r="H365" s="122" t="s">
        <v>413</v>
      </c>
      <c r="I365" s="123" t="s">
        <v>412</v>
      </c>
      <c r="J365" s="212" t="s">
        <v>1383</v>
      </c>
      <c r="K365" s="212"/>
      <c r="L365" s="212"/>
      <c r="M365" s="213"/>
      <c r="N365" s="213"/>
      <c r="O365" s="214"/>
      <c r="P365" s="106" t="b">
        <f t="shared" si="18"/>
        <v>1</v>
      </c>
    </row>
    <row r="366" spans="1:16" x14ac:dyDescent="0.3">
      <c r="A366" s="124">
        <v>14</v>
      </c>
      <c r="B366" s="37" t="s">
        <v>9</v>
      </c>
      <c r="C366" s="38">
        <v>8</v>
      </c>
      <c r="D366" s="125" t="s">
        <v>735</v>
      </c>
      <c r="E366" s="123" t="s">
        <v>736</v>
      </c>
      <c r="F366" s="126" t="s">
        <v>52</v>
      </c>
      <c r="G366" s="128"/>
      <c r="H366" s="122" t="s">
        <v>661</v>
      </c>
      <c r="I366" s="123" t="s">
        <v>660</v>
      </c>
      <c r="J366" s="212"/>
      <c r="K366" s="212"/>
      <c r="L366" s="212"/>
      <c r="M366" s="213"/>
      <c r="N366" s="213"/>
      <c r="O366" s="214"/>
      <c r="P366" s="106" t="b">
        <f t="shared" si="18"/>
        <v>0</v>
      </c>
    </row>
    <row r="367" spans="1:16" x14ac:dyDescent="0.3">
      <c r="A367" s="124">
        <v>14</v>
      </c>
      <c r="B367" s="37" t="s">
        <v>9</v>
      </c>
      <c r="C367" s="38">
        <v>9</v>
      </c>
      <c r="D367" s="125" t="s">
        <v>517</v>
      </c>
      <c r="E367" s="123" t="s">
        <v>737</v>
      </c>
      <c r="F367" s="126" t="s">
        <v>52</v>
      </c>
      <c r="G367" s="131"/>
      <c r="H367" s="122" t="s">
        <v>413</v>
      </c>
      <c r="I367" s="123" t="s">
        <v>412</v>
      </c>
      <c r="J367" s="212"/>
      <c r="K367" s="212"/>
      <c r="L367" s="212"/>
      <c r="M367" s="213"/>
      <c r="N367" s="213"/>
      <c r="O367" s="214"/>
      <c r="P367" s="106" t="b">
        <f t="shared" si="18"/>
        <v>0</v>
      </c>
    </row>
    <row r="368" spans="1:16" x14ac:dyDescent="0.3">
      <c r="A368" s="124">
        <v>14</v>
      </c>
      <c r="B368" s="37" t="s">
        <v>9</v>
      </c>
      <c r="C368" s="38">
        <v>10</v>
      </c>
      <c r="D368" s="125" t="s">
        <v>722</v>
      </c>
      <c r="E368" s="123" t="s">
        <v>738</v>
      </c>
      <c r="F368" s="126" t="s">
        <v>52</v>
      </c>
      <c r="G368" s="131"/>
      <c r="H368" s="122" t="s">
        <v>521</v>
      </c>
      <c r="I368" s="123" t="s">
        <v>525</v>
      </c>
      <c r="J368" s="212"/>
      <c r="K368" s="212"/>
      <c r="L368" s="212"/>
      <c r="M368" s="213"/>
      <c r="N368" s="213"/>
      <c r="O368" s="214"/>
      <c r="P368" s="106" t="b">
        <f t="shared" si="18"/>
        <v>0</v>
      </c>
    </row>
    <row r="369" spans="1:16" x14ac:dyDescent="0.3">
      <c r="A369" s="124">
        <v>14</v>
      </c>
      <c r="B369" s="37" t="s">
        <v>9</v>
      </c>
      <c r="C369" s="38">
        <v>11</v>
      </c>
      <c r="D369" s="125" t="s">
        <v>723</v>
      </c>
      <c r="E369" s="123" t="s">
        <v>739</v>
      </c>
      <c r="F369" s="126" t="s">
        <v>52</v>
      </c>
      <c r="G369" s="131"/>
      <c r="H369" s="122" t="s">
        <v>521</v>
      </c>
      <c r="I369" s="123" t="s">
        <v>525</v>
      </c>
      <c r="J369" s="212"/>
      <c r="K369" s="212"/>
      <c r="L369" s="212"/>
      <c r="M369" s="213"/>
      <c r="N369" s="213"/>
      <c r="O369" s="214"/>
      <c r="P369" s="106" t="b">
        <f t="shared" si="18"/>
        <v>0</v>
      </c>
    </row>
    <row r="370" spans="1:16" x14ac:dyDescent="0.3">
      <c r="A370" s="124">
        <v>14</v>
      </c>
      <c r="B370" s="37" t="s">
        <v>9</v>
      </c>
      <c r="C370" s="38">
        <v>12</v>
      </c>
      <c r="D370" s="125" t="s">
        <v>95</v>
      </c>
      <c r="E370" s="123" t="s">
        <v>740</v>
      </c>
      <c r="F370" s="126" t="s">
        <v>52</v>
      </c>
      <c r="G370" s="131"/>
      <c r="H370" s="122" t="s">
        <v>522</v>
      </c>
      <c r="I370" s="123" t="s">
        <v>526</v>
      </c>
      <c r="J370" s="212" t="s">
        <v>1383</v>
      </c>
      <c r="K370" s="212"/>
      <c r="L370" s="212"/>
      <c r="M370" s="213"/>
      <c r="N370" s="213"/>
      <c r="O370" s="214"/>
      <c r="P370" s="106" t="b">
        <f t="shared" si="18"/>
        <v>1</v>
      </c>
    </row>
    <row r="371" spans="1:16" x14ac:dyDescent="0.3">
      <c r="A371" s="124">
        <v>14</v>
      </c>
      <c r="B371" s="37" t="s">
        <v>9</v>
      </c>
      <c r="C371" s="38">
        <v>13</v>
      </c>
      <c r="D371" s="181" t="s">
        <v>43</v>
      </c>
      <c r="E371" s="123" t="s">
        <v>741</v>
      </c>
      <c r="F371" s="126" t="s">
        <v>52</v>
      </c>
      <c r="G371" s="128"/>
      <c r="H371" s="122" t="s">
        <v>661</v>
      </c>
      <c r="I371" s="123" t="s">
        <v>660</v>
      </c>
      <c r="J371" s="212"/>
      <c r="K371" s="212"/>
      <c r="L371" s="212"/>
      <c r="M371" s="213"/>
      <c r="N371" s="213"/>
      <c r="O371" s="214"/>
      <c r="P371" s="106" t="b">
        <f t="shared" si="18"/>
        <v>0</v>
      </c>
    </row>
    <row r="372" spans="1:16" x14ac:dyDescent="0.3">
      <c r="A372" s="124">
        <v>14</v>
      </c>
      <c r="B372" s="37" t="s">
        <v>9</v>
      </c>
      <c r="C372" s="38">
        <v>14</v>
      </c>
      <c r="D372" s="125" t="s">
        <v>724</v>
      </c>
      <c r="E372" s="123" t="s">
        <v>742</v>
      </c>
      <c r="F372" s="126" t="s">
        <v>52</v>
      </c>
      <c r="G372" s="131"/>
      <c r="H372" s="122" t="s">
        <v>522</v>
      </c>
      <c r="I372" s="123" t="s">
        <v>526</v>
      </c>
      <c r="J372" s="212" t="s">
        <v>1383</v>
      </c>
      <c r="K372" s="212"/>
      <c r="L372" s="212"/>
      <c r="M372" s="213"/>
      <c r="N372" s="213"/>
      <c r="O372" s="214"/>
      <c r="P372" s="106" t="b">
        <f t="shared" si="18"/>
        <v>1</v>
      </c>
    </row>
    <row r="373" spans="1:16" x14ac:dyDescent="0.3">
      <c r="A373" s="124">
        <v>14</v>
      </c>
      <c r="B373" s="37" t="s">
        <v>9</v>
      </c>
      <c r="C373" s="38">
        <v>15</v>
      </c>
      <c r="D373" s="125" t="s">
        <v>725</v>
      </c>
      <c r="E373" s="123" t="s">
        <v>743</v>
      </c>
      <c r="F373" s="131"/>
      <c r="G373" s="128" t="s">
        <v>53</v>
      </c>
      <c r="H373" s="154" t="s">
        <v>521</v>
      </c>
      <c r="I373" s="155" t="s">
        <v>525</v>
      </c>
      <c r="J373" s="212"/>
      <c r="K373" s="212"/>
      <c r="L373" s="212"/>
      <c r="M373" s="213"/>
      <c r="N373" s="213"/>
      <c r="O373" s="214"/>
      <c r="P373" s="106" t="b">
        <f t="shared" si="18"/>
        <v>0</v>
      </c>
    </row>
    <row r="374" spans="1:16" x14ac:dyDescent="0.3">
      <c r="A374" s="124">
        <v>14</v>
      </c>
      <c r="B374" s="37" t="s">
        <v>9</v>
      </c>
      <c r="C374" s="38">
        <v>16</v>
      </c>
      <c r="D374" s="125" t="s">
        <v>726</v>
      </c>
      <c r="E374" s="123" t="s">
        <v>744</v>
      </c>
      <c r="F374" s="126" t="s">
        <v>52</v>
      </c>
      <c r="G374" s="131"/>
      <c r="H374" s="122" t="s">
        <v>521</v>
      </c>
      <c r="I374" s="123" t="s">
        <v>525</v>
      </c>
      <c r="J374" s="212" t="s">
        <v>1383</v>
      </c>
      <c r="K374" s="212" t="s">
        <v>1383</v>
      </c>
      <c r="L374" s="212"/>
      <c r="M374" s="213"/>
      <c r="N374" s="212" t="s">
        <v>1383</v>
      </c>
      <c r="O374" s="214"/>
      <c r="P374" s="106" t="b">
        <f t="shared" si="18"/>
        <v>1</v>
      </c>
    </row>
    <row r="375" spans="1:16" ht="19.5" thickBot="1" x14ac:dyDescent="0.35">
      <c r="A375" s="124">
        <v>14</v>
      </c>
      <c r="B375" s="37" t="s">
        <v>9</v>
      </c>
      <c r="C375" s="38">
        <v>17</v>
      </c>
      <c r="D375" s="166" t="s">
        <v>727</v>
      </c>
      <c r="E375" s="123" t="s">
        <v>745</v>
      </c>
      <c r="F375" s="126" t="s">
        <v>52</v>
      </c>
      <c r="G375" s="131"/>
      <c r="H375" s="122" t="s">
        <v>521</v>
      </c>
      <c r="I375" s="123" t="s">
        <v>525</v>
      </c>
      <c r="J375" s="212"/>
      <c r="K375" s="212"/>
      <c r="L375" s="212"/>
      <c r="M375" s="213"/>
      <c r="N375" s="213"/>
      <c r="O375" s="214"/>
      <c r="P375" s="106" t="b">
        <f t="shared" si="18"/>
        <v>0</v>
      </c>
    </row>
    <row r="376" spans="1:16" ht="19.5" hidden="1" thickBot="1" x14ac:dyDescent="0.3">
      <c r="A376" s="177">
        <v>14</v>
      </c>
      <c r="B376" s="178" t="s">
        <v>9</v>
      </c>
      <c r="C376" s="179">
        <f>COUNTA(C359:C375)</f>
        <v>17</v>
      </c>
      <c r="D376" s="180" t="s">
        <v>1</v>
      </c>
      <c r="E376" s="180" t="s">
        <v>1374</v>
      </c>
      <c r="F376" s="179">
        <f>COUNTA(F359:F375)</f>
        <v>13</v>
      </c>
      <c r="G376" s="179">
        <f>COUNTA(G359:G375)</f>
        <v>4</v>
      </c>
      <c r="H376" s="302" t="s">
        <v>3</v>
      </c>
      <c r="I376" s="303"/>
      <c r="J376" s="109">
        <f t="shared" ref="J376:O376" si="20">COUNTA(J359:J375)</f>
        <v>4</v>
      </c>
      <c r="K376" s="109">
        <f t="shared" si="20"/>
        <v>1</v>
      </c>
      <c r="L376" s="109">
        <f t="shared" si="20"/>
        <v>0</v>
      </c>
      <c r="M376" s="109">
        <f t="shared" si="20"/>
        <v>0</v>
      </c>
      <c r="N376" s="109">
        <f t="shared" si="20"/>
        <v>1</v>
      </c>
      <c r="O376" s="110">
        <f t="shared" si="20"/>
        <v>0</v>
      </c>
      <c r="P376" s="108">
        <f>COUNTIF(P359:P375,TRUE)</f>
        <v>4</v>
      </c>
    </row>
    <row r="377" spans="1:16" x14ac:dyDescent="0.3">
      <c r="A377" s="119">
        <v>15</v>
      </c>
      <c r="B377" s="41" t="s">
        <v>777</v>
      </c>
      <c r="C377" s="44">
        <v>1</v>
      </c>
      <c r="D377" s="150" t="s">
        <v>746</v>
      </c>
      <c r="E377" s="153" t="s">
        <v>778</v>
      </c>
      <c r="F377" s="151" t="s">
        <v>52</v>
      </c>
      <c r="G377" s="168"/>
      <c r="H377" s="152" t="s">
        <v>260</v>
      </c>
      <c r="I377" s="264" t="s">
        <v>809</v>
      </c>
      <c r="J377" s="262" t="s">
        <v>1383</v>
      </c>
      <c r="K377" s="218"/>
      <c r="L377" s="218"/>
      <c r="M377" s="219"/>
      <c r="N377" s="219"/>
      <c r="O377" s="220"/>
      <c r="P377" s="106" t="b">
        <f t="shared" si="18"/>
        <v>1</v>
      </c>
    </row>
    <row r="378" spans="1:16" x14ac:dyDescent="0.3">
      <c r="A378" s="124">
        <v>15</v>
      </c>
      <c r="B378" s="37" t="s">
        <v>777</v>
      </c>
      <c r="C378" s="38">
        <v>2</v>
      </c>
      <c r="D378" s="125" t="s">
        <v>747</v>
      </c>
      <c r="E378" s="123" t="s">
        <v>779</v>
      </c>
      <c r="F378" s="126"/>
      <c r="G378" s="128" t="s">
        <v>53</v>
      </c>
      <c r="H378" s="154" t="s">
        <v>256</v>
      </c>
      <c r="I378" s="265" t="s">
        <v>810</v>
      </c>
      <c r="J378" s="263"/>
      <c r="K378" s="212"/>
      <c r="L378" s="212"/>
      <c r="M378" s="213"/>
      <c r="N378" s="213"/>
      <c r="O378" s="214"/>
      <c r="P378" s="106" t="b">
        <f t="shared" si="18"/>
        <v>0</v>
      </c>
    </row>
    <row r="379" spans="1:16" x14ac:dyDescent="0.3">
      <c r="A379" s="124">
        <v>15</v>
      </c>
      <c r="B379" s="37" t="s">
        <v>777</v>
      </c>
      <c r="C379" s="38">
        <v>3</v>
      </c>
      <c r="D379" s="125" t="s">
        <v>748</v>
      </c>
      <c r="E379" s="123" t="s">
        <v>780</v>
      </c>
      <c r="F379" s="126" t="s">
        <v>52</v>
      </c>
      <c r="G379" s="131"/>
      <c r="H379" s="122" t="s">
        <v>260</v>
      </c>
      <c r="I379" s="266" t="s">
        <v>809</v>
      </c>
      <c r="J379" s="263" t="s">
        <v>1383</v>
      </c>
      <c r="K379" s="212" t="s">
        <v>1383</v>
      </c>
      <c r="L379" s="212"/>
      <c r="M379" s="213"/>
      <c r="N379" s="213"/>
      <c r="O379" s="214"/>
      <c r="P379" s="106" t="b">
        <f t="shared" si="18"/>
        <v>1</v>
      </c>
    </row>
    <row r="380" spans="1:16" x14ac:dyDescent="0.3">
      <c r="A380" s="124">
        <v>15</v>
      </c>
      <c r="B380" s="37" t="s">
        <v>777</v>
      </c>
      <c r="C380" s="38">
        <v>4</v>
      </c>
      <c r="D380" s="125" t="s">
        <v>749</v>
      </c>
      <c r="E380" s="123" t="s">
        <v>781</v>
      </c>
      <c r="F380" s="126" t="s">
        <v>52</v>
      </c>
      <c r="G380" s="131"/>
      <c r="H380" s="122" t="s">
        <v>256</v>
      </c>
      <c r="I380" s="266" t="s">
        <v>810</v>
      </c>
      <c r="J380" s="263" t="s">
        <v>1383</v>
      </c>
      <c r="K380" s="212"/>
      <c r="L380" s="212"/>
      <c r="M380" s="213"/>
      <c r="N380" s="213"/>
      <c r="O380" s="214"/>
      <c r="P380" s="106" t="b">
        <f t="shared" si="18"/>
        <v>1</v>
      </c>
    </row>
    <row r="381" spans="1:16" x14ac:dyDescent="0.3">
      <c r="A381" s="124">
        <v>15</v>
      </c>
      <c r="B381" s="37" t="s">
        <v>777</v>
      </c>
      <c r="C381" s="38">
        <v>5</v>
      </c>
      <c r="D381" s="125" t="s">
        <v>750</v>
      </c>
      <c r="E381" s="123" t="s">
        <v>782</v>
      </c>
      <c r="F381" s="131"/>
      <c r="G381" s="128" t="s">
        <v>53</v>
      </c>
      <c r="H381" s="154" t="s">
        <v>260</v>
      </c>
      <c r="I381" s="265" t="s">
        <v>809</v>
      </c>
      <c r="J381" s="263"/>
      <c r="K381" s="212"/>
      <c r="L381" s="212"/>
      <c r="M381" s="213"/>
      <c r="N381" s="213"/>
      <c r="O381" s="214"/>
      <c r="P381" s="106" t="b">
        <f t="shared" si="18"/>
        <v>0</v>
      </c>
    </row>
    <row r="382" spans="1:16" x14ac:dyDescent="0.3">
      <c r="A382" s="124">
        <v>15</v>
      </c>
      <c r="B382" s="37" t="s">
        <v>777</v>
      </c>
      <c r="C382" s="38">
        <v>6</v>
      </c>
      <c r="D382" s="125" t="s">
        <v>751</v>
      </c>
      <c r="E382" s="123" t="s">
        <v>259</v>
      </c>
      <c r="F382" s="126" t="s">
        <v>52</v>
      </c>
      <c r="G382" s="131"/>
      <c r="H382" s="122" t="s">
        <v>413</v>
      </c>
      <c r="I382" s="266" t="s">
        <v>412</v>
      </c>
      <c r="J382" s="263" t="s">
        <v>1383</v>
      </c>
      <c r="K382" s="212"/>
      <c r="L382" s="212"/>
      <c r="M382" s="213"/>
      <c r="N382" s="212" t="s">
        <v>1383</v>
      </c>
      <c r="O382" s="214"/>
      <c r="P382" s="106" t="b">
        <f t="shared" si="18"/>
        <v>1</v>
      </c>
    </row>
    <row r="383" spans="1:16" x14ac:dyDescent="0.3">
      <c r="A383" s="124">
        <v>15</v>
      </c>
      <c r="B383" s="37" t="s">
        <v>777</v>
      </c>
      <c r="C383" s="38">
        <v>7</v>
      </c>
      <c r="D383" s="125" t="s">
        <v>752</v>
      </c>
      <c r="E383" s="123" t="s">
        <v>783</v>
      </c>
      <c r="F383" s="126" t="s">
        <v>52</v>
      </c>
      <c r="G383" s="131"/>
      <c r="H383" s="122" t="s">
        <v>256</v>
      </c>
      <c r="I383" s="266" t="s">
        <v>810</v>
      </c>
      <c r="J383" s="263" t="s">
        <v>1383</v>
      </c>
      <c r="K383" s="212"/>
      <c r="L383" s="212"/>
      <c r="M383" s="213"/>
      <c r="N383" s="213"/>
      <c r="O383" s="214"/>
      <c r="P383" s="106" t="b">
        <f t="shared" si="18"/>
        <v>1</v>
      </c>
    </row>
    <row r="384" spans="1:16" x14ac:dyDescent="0.3">
      <c r="A384" s="124">
        <v>15</v>
      </c>
      <c r="B384" s="37" t="s">
        <v>777</v>
      </c>
      <c r="C384" s="38">
        <v>8</v>
      </c>
      <c r="D384" s="125" t="s">
        <v>753</v>
      </c>
      <c r="E384" s="123" t="s">
        <v>261</v>
      </c>
      <c r="F384" s="126" t="s">
        <v>52</v>
      </c>
      <c r="G384" s="131"/>
      <c r="H384" s="122" t="s">
        <v>413</v>
      </c>
      <c r="I384" s="266" t="s">
        <v>412</v>
      </c>
      <c r="J384" s="263" t="s">
        <v>1383</v>
      </c>
      <c r="K384" s="212"/>
      <c r="L384" s="212" t="s">
        <v>1383</v>
      </c>
      <c r="M384" s="213"/>
      <c r="N384" s="212" t="s">
        <v>1383</v>
      </c>
      <c r="O384" s="214" t="s">
        <v>1383</v>
      </c>
      <c r="P384" s="106" t="b">
        <f t="shared" si="18"/>
        <v>1</v>
      </c>
    </row>
    <row r="385" spans="1:16" x14ac:dyDescent="0.3">
      <c r="A385" s="124">
        <v>15</v>
      </c>
      <c r="B385" s="37" t="s">
        <v>777</v>
      </c>
      <c r="C385" s="38">
        <v>9</v>
      </c>
      <c r="D385" s="125" t="s">
        <v>754</v>
      </c>
      <c r="E385" s="123" t="s">
        <v>784</v>
      </c>
      <c r="F385" s="131"/>
      <c r="G385" s="128" t="s">
        <v>53</v>
      </c>
      <c r="H385" s="154" t="s">
        <v>256</v>
      </c>
      <c r="I385" s="265" t="s">
        <v>810</v>
      </c>
      <c r="J385" s="263"/>
      <c r="K385" s="212"/>
      <c r="L385" s="212"/>
      <c r="M385" s="213"/>
      <c r="N385" s="213"/>
      <c r="O385" s="214"/>
      <c r="P385" s="106" t="b">
        <f t="shared" si="18"/>
        <v>0</v>
      </c>
    </row>
    <row r="386" spans="1:16" x14ac:dyDescent="0.3">
      <c r="A386" s="124">
        <v>15</v>
      </c>
      <c r="B386" s="37" t="s">
        <v>777</v>
      </c>
      <c r="C386" s="38">
        <v>10</v>
      </c>
      <c r="D386" s="125" t="s">
        <v>755</v>
      </c>
      <c r="E386" s="123" t="s">
        <v>785</v>
      </c>
      <c r="F386" s="131"/>
      <c r="G386" s="128" t="s">
        <v>53</v>
      </c>
      <c r="H386" s="154" t="s">
        <v>260</v>
      </c>
      <c r="I386" s="265" t="s">
        <v>809</v>
      </c>
      <c r="J386" s="263"/>
      <c r="K386" s="212"/>
      <c r="L386" s="212"/>
      <c r="M386" s="213"/>
      <c r="N386" s="213"/>
      <c r="O386" s="214"/>
      <c r="P386" s="106" t="b">
        <f t="shared" si="18"/>
        <v>0</v>
      </c>
    </row>
    <row r="387" spans="1:16" x14ac:dyDescent="0.3">
      <c r="A387" s="124">
        <v>15</v>
      </c>
      <c r="B387" s="37" t="s">
        <v>777</v>
      </c>
      <c r="C387" s="38">
        <v>11</v>
      </c>
      <c r="D387" s="125" t="s">
        <v>756</v>
      </c>
      <c r="E387" s="123" t="s">
        <v>786</v>
      </c>
      <c r="F387" s="126" t="s">
        <v>52</v>
      </c>
      <c r="G387" s="131"/>
      <c r="H387" s="122" t="s">
        <v>260</v>
      </c>
      <c r="I387" s="266" t="s">
        <v>809</v>
      </c>
      <c r="J387" s="263" t="s">
        <v>1383</v>
      </c>
      <c r="K387" s="212"/>
      <c r="L387" s="212"/>
      <c r="M387" s="213"/>
      <c r="N387" s="213"/>
      <c r="O387" s="214"/>
      <c r="P387" s="106" t="b">
        <f t="shared" si="18"/>
        <v>1</v>
      </c>
    </row>
    <row r="388" spans="1:16" x14ac:dyDescent="0.3">
      <c r="A388" s="124">
        <v>15</v>
      </c>
      <c r="B388" s="37" t="s">
        <v>777</v>
      </c>
      <c r="C388" s="38">
        <v>12</v>
      </c>
      <c r="D388" s="125" t="s">
        <v>757</v>
      </c>
      <c r="E388" s="123" t="s">
        <v>787</v>
      </c>
      <c r="F388" s="126" t="s">
        <v>52</v>
      </c>
      <c r="G388" s="131"/>
      <c r="H388" s="122" t="s">
        <v>256</v>
      </c>
      <c r="I388" s="266" t="s">
        <v>810</v>
      </c>
      <c r="J388" s="263" t="s">
        <v>1383</v>
      </c>
      <c r="K388" s="212"/>
      <c r="L388" s="212"/>
      <c r="M388" s="213"/>
      <c r="N388" s="213"/>
      <c r="O388" s="214"/>
      <c r="P388" s="106" t="b">
        <f t="shared" si="18"/>
        <v>1</v>
      </c>
    </row>
    <row r="389" spans="1:16" x14ac:dyDescent="0.3">
      <c r="A389" s="124">
        <v>15</v>
      </c>
      <c r="B389" s="37" t="s">
        <v>777</v>
      </c>
      <c r="C389" s="38">
        <v>13</v>
      </c>
      <c r="D389" s="125" t="s">
        <v>758</v>
      </c>
      <c r="E389" s="123" t="s">
        <v>788</v>
      </c>
      <c r="F389" s="126" t="s">
        <v>52</v>
      </c>
      <c r="G389" s="131"/>
      <c r="H389" s="122" t="s">
        <v>256</v>
      </c>
      <c r="I389" s="266" t="s">
        <v>810</v>
      </c>
      <c r="J389" s="263" t="s">
        <v>1383</v>
      </c>
      <c r="K389" s="212"/>
      <c r="L389" s="212"/>
      <c r="M389" s="213"/>
      <c r="N389" s="213"/>
      <c r="O389" s="214"/>
      <c r="P389" s="106" t="b">
        <f t="shared" si="18"/>
        <v>1</v>
      </c>
    </row>
    <row r="390" spans="1:16" x14ac:dyDescent="0.3">
      <c r="A390" s="124">
        <v>15</v>
      </c>
      <c r="B390" s="37" t="s">
        <v>777</v>
      </c>
      <c r="C390" s="38">
        <v>14</v>
      </c>
      <c r="D390" s="125" t="s">
        <v>759</v>
      </c>
      <c r="E390" s="123" t="s">
        <v>789</v>
      </c>
      <c r="F390" s="126" t="s">
        <v>52</v>
      </c>
      <c r="G390" s="131"/>
      <c r="H390" s="122" t="s">
        <v>256</v>
      </c>
      <c r="I390" s="266" t="s">
        <v>810</v>
      </c>
      <c r="J390" s="263" t="s">
        <v>1383</v>
      </c>
      <c r="K390" s="212"/>
      <c r="L390" s="212"/>
      <c r="M390" s="213"/>
      <c r="N390" s="213"/>
      <c r="O390" s="214"/>
      <c r="P390" s="106" t="b">
        <f t="shared" si="18"/>
        <v>1</v>
      </c>
    </row>
    <row r="391" spans="1:16" x14ac:dyDescent="0.3">
      <c r="A391" s="124">
        <v>15</v>
      </c>
      <c r="B391" s="37" t="s">
        <v>777</v>
      </c>
      <c r="C391" s="38">
        <v>15</v>
      </c>
      <c r="D391" s="125" t="s">
        <v>760</v>
      </c>
      <c r="E391" s="123" t="s">
        <v>790</v>
      </c>
      <c r="F391" s="126" t="s">
        <v>52</v>
      </c>
      <c r="G391" s="128"/>
      <c r="H391" s="122" t="s">
        <v>256</v>
      </c>
      <c r="I391" s="266" t="s">
        <v>810</v>
      </c>
      <c r="J391" s="263"/>
      <c r="K391" s="212"/>
      <c r="L391" s="212"/>
      <c r="M391" s="213"/>
      <c r="N391" s="213"/>
      <c r="O391" s="214"/>
      <c r="P391" s="106" t="b">
        <f t="shared" si="18"/>
        <v>0</v>
      </c>
    </row>
    <row r="392" spans="1:16" x14ac:dyDescent="0.3">
      <c r="A392" s="124">
        <v>15</v>
      </c>
      <c r="B392" s="37" t="s">
        <v>777</v>
      </c>
      <c r="C392" s="38">
        <v>16</v>
      </c>
      <c r="D392" s="125" t="s">
        <v>761</v>
      </c>
      <c r="E392" s="123" t="s">
        <v>791</v>
      </c>
      <c r="F392" s="126" t="s">
        <v>52</v>
      </c>
      <c r="G392" s="131"/>
      <c r="H392" s="122" t="s">
        <v>260</v>
      </c>
      <c r="I392" s="266" t="s">
        <v>809</v>
      </c>
      <c r="J392" s="263" t="s">
        <v>1383</v>
      </c>
      <c r="K392" s="212"/>
      <c r="L392" s="212"/>
      <c r="M392" s="213"/>
      <c r="N392" s="213"/>
      <c r="O392" s="214"/>
      <c r="P392" s="106" t="b">
        <f t="shared" si="18"/>
        <v>1</v>
      </c>
    </row>
    <row r="393" spans="1:16" x14ac:dyDescent="0.3">
      <c r="A393" s="124">
        <v>15</v>
      </c>
      <c r="B393" s="37" t="s">
        <v>777</v>
      </c>
      <c r="C393" s="38">
        <v>17</v>
      </c>
      <c r="D393" s="125" t="s">
        <v>73</v>
      </c>
      <c r="E393" s="123" t="s">
        <v>792</v>
      </c>
      <c r="F393" s="131"/>
      <c r="G393" s="128" t="s">
        <v>53</v>
      </c>
      <c r="H393" s="154" t="s">
        <v>256</v>
      </c>
      <c r="I393" s="265" t="s">
        <v>810</v>
      </c>
      <c r="J393" s="263"/>
      <c r="K393" s="212"/>
      <c r="L393" s="212"/>
      <c r="M393" s="213"/>
      <c r="N393" s="213"/>
      <c r="O393" s="214"/>
      <c r="P393" s="106" t="b">
        <f t="shared" si="18"/>
        <v>0</v>
      </c>
    </row>
    <row r="394" spans="1:16" x14ac:dyDescent="0.3">
      <c r="A394" s="124">
        <v>15</v>
      </c>
      <c r="B394" s="37" t="s">
        <v>777</v>
      </c>
      <c r="C394" s="38">
        <v>18</v>
      </c>
      <c r="D394" s="125" t="s">
        <v>762</v>
      </c>
      <c r="E394" s="123" t="s">
        <v>793</v>
      </c>
      <c r="F394" s="131"/>
      <c r="G394" s="128" t="s">
        <v>53</v>
      </c>
      <c r="H394" s="154" t="s">
        <v>256</v>
      </c>
      <c r="I394" s="265" t="s">
        <v>810</v>
      </c>
      <c r="J394" s="263"/>
      <c r="K394" s="212"/>
      <c r="L394" s="212"/>
      <c r="M394" s="213"/>
      <c r="N394" s="213"/>
      <c r="O394" s="214"/>
      <c r="P394" s="106" t="b">
        <f t="shared" si="18"/>
        <v>0</v>
      </c>
    </row>
    <row r="395" spans="1:16" x14ac:dyDescent="0.3">
      <c r="A395" s="124">
        <v>15</v>
      </c>
      <c r="B395" s="37" t="s">
        <v>777</v>
      </c>
      <c r="C395" s="38">
        <v>19</v>
      </c>
      <c r="D395" s="125" t="s">
        <v>763</v>
      </c>
      <c r="E395" s="123" t="s">
        <v>794</v>
      </c>
      <c r="F395" s="126"/>
      <c r="G395" s="128" t="s">
        <v>53</v>
      </c>
      <c r="H395" s="154" t="s">
        <v>260</v>
      </c>
      <c r="I395" s="265" t="s">
        <v>809</v>
      </c>
      <c r="J395" s="263"/>
      <c r="K395" s="212"/>
      <c r="L395" s="212"/>
      <c r="M395" s="213"/>
      <c r="N395" s="213"/>
      <c r="O395" s="214"/>
      <c r="P395" s="106" t="b">
        <f t="shared" si="18"/>
        <v>0</v>
      </c>
    </row>
    <row r="396" spans="1:16" x14ac:dyDescent="0.3">
      <c r="A396" s="124">
        <v>15</v>
      </c>
      <c r="B396" s="37" t="s">
        <v>777</v>
      </c>
      <c r="C396" s="38">
        <v>20</v>
      </c>
      <c r="D396" s="125" t="s">
        <v>588</v>
      </c>
      <c r="E396" s="123" t="s">
        <v>795</v>
      </c>
      <c r="F396" s="126"/>
      <c r="G396" s="128" t="s">
        <v>53</v>
      </c>
      <c r="H396" s="154" t="s">
        <v>260</v>
      </c>
      <c r="I396" s="265" t="s">
        <v>809</v>
      </c>
      <c r="J396" s="263"/>
      <c r="K396" s="212"/>
      <c r="L396" s="212"/>
      <c r="M396" s="213"/>
      <c r="N396" s="213"/>
      <c r="O396" s="214"/>
      <c r="P396" s="106" t="b">
        <f t="shared" si="18"/>
        <v>0</v>
      </c>
    </row>
    <row r="397" spans="1:16" x14ac:dyDescent="0.3">
      <c r="A397" s="124">
        <v>15</v>
      </c>
      <c r="B397" s="37" t="s">
        <v>777</v>
      </c>
      <c r="C397" s="38">
        <v>21</v>
      </c>
      <c r="D397" s="125" t="s">
        <v>764</v>
      </c>
      <c r="E397" s="123" t="s">
        <v>796</v>
      </c>
      <c r="F397" s="131"/>
      <c r="G397" s="128" t="s">
        <v>53</v>
      </c>
      <c r="H397" s="154" t="s">
        <v>256</v>
      </c>
      <c r="I397" s="265" t="s">
        <v>810</v>
      </c>
      <c r="J397" s="263"/>
      <c r="K397" s="212"/>
      <c r="L397" s="212"/>
      <c r="M397" s="213"/>
      <c r="N397" s="213"/>
      <c r="O397" s="214"/>
      <c r="P397" s="106" t="b">
        <f t="shared" si="18"/>
        <v>0</v>
      </c>
    </row>
    <row r="398" spans="1:16" x14ac:dyDescent="0.3">
      <c r="A398" s="124">
        <v>15</v>
      </c>
      <c r="B398" s="37" t="s">
        <v>777</v>
      </c>
      <c r="C398" s="38">
        <v>22</v>
      </c>
      <c r="D398" s="125" t="s">
        <v>765</v>
      </c>
      <c r="E398" s="123" t="s">
        <v>797</v>
      </c>
      <c r="F398" s="126" t="s">
        <v>52</v>
      </c>
      <c r="G398" s="131"/>
      <c r="H398" s="122" t="s">
        <v>256</v>
      </c>
      <c r="I398" s="266" t="s">
        <v>810</v>
      </c>
      <c r="J398" s="263" t="s">
        <v>1383</v>
      </c>
      <c r="K398" s="212"/>
      <c r="L398" s="212"/>
      <c r="M398" s="213"/>
      <c r="N398" s="213"/>
      <c r="O398" s="214"/>
      <c r="P398" s="106" t="b">
        <f t="shared" si="18"/>
        <v>1</v>
      </c>
    </row>
    <row r="399" spans="1:16" x14ac:dyDescent="0.3">
      <c r="A399" s="124">
        <v>15</v>
      </c>
      <c r="B399" s="37" t="s">
        <v>777</v>
      </c>
      <c r="C399" s="38">
        <v>23</v>
      </c>
      <c r="D399" s="125" t="s">
        <v>766</v>
      </c>
      <c r="E399" s="123" t="s">
        <v>798</v>
      </c>
      <c r="F399" s="126" t="s">
        <v>52</v>
      </c>
      <c r="G399" s="128"/>
      <c r="H399" s="122" t="s">
        <v>256</v>
      </c>
      <c r="I399" s="266" t="s">
        <v>810</v>
      </c>
      <c r="J399" s="263"/>
      <c r="K399" s="212"/>
      <c r="L399" s="212"/>
      <c r="M399" s="213"/>
      <c r="N399" s="213"/>
      <c r="O399" s="214"/>
      <c r="P399" s="106" t="b">
        <f t="shared" si="18"/>
        <v>0</v>
      </c>
    </row>
    <row r="400" spans="1:16" x14ac:dyDescent="0.3">
      <c r="A400" s="124">
        <v>15</v>
      </c>
      <c r="B400" s="37" t="s">
        <v>777</v>
      </c>
      <c r="C400" s="38">
        <v>24</v>
      </c>
      <c r="D400" s="125" t="s">
        <v>767</v>
      </c>
      <c r="E400" s="123" t="s">
        <v>799</v>
      </c>
      <c r="F400" s="131"/>
      <c r="G400" s="128" t="s">
        <v>53</v>
      </c>
      <c r="H400" s="154" t="s">
        <v>256</v>
      </c>
      <c r="I400" s="265" t="s">
        <v>810</v>
      </c>
      <c r="J400" s="263"/>
      <c r="K400" s="212"/>
      <c r="L400" s="212"/>
      <c r="M400" s="213"/>
      <c r="N400" s="213"/>
      <c r="O400" s="214"/>
      <c r="P400" s="106" t="b">
        <f t="shared" si="18"/>
        <v>0</v>
      </c>
    </row>
    <row r="401" spans="1:16" x14ac:dyDescent="0.3">
      <c r="A401" s="124">
        <v>15</v>
      </c>
      <c r="B401" s="37" t="s">
        <v>777</v>
      </c>
      <c r="C401" s="38">
        <v>25</v>
      </c>
      <c r="D401" s="125" t="s">
        <v>768</v>
      </c>
      <c r="E401" s="123" t="s">
        <v>800</v>
      </c>
      <c r="F401" s="131"/>
      <c r="G401" s="128" t="s">
        <v>53</v>
      </c>
      <c r="H401" s="154" t="s">
        <v>256</v>
      </c>
      <c r="I401" s="265" t="s">
        <v>810</v>
      </c>
      <c r="J401" s="263"/>
      <c r="K401" s="212"/>
      <c r="L401" s="212"/>
      <c r="M401" s="213"/>
      <c r="N401" s="213"/>
      <c r="O401" s="214"/>
      <c r="P401" s="106" t="b">
        <f t="shared" si="18"/>
        <v>0</v>
      </c>
    </row>
    <row r="402" spans="1:16" x14ac:dyDescent="0.3">
      <c r="A402" s="124">
        <v>15</v>
      </c>
      <c r="B402" s="37" t="s">
        <v>777</v>
      </c>
      <c r="C402" s="38">
        <v>26</v>
      </c>
      <c r="D402" s="125" t="s">
        <v>769</v>
      </c>
      <c r="E402" s="123" t="s">
        <v>801</v>
      </c>
      <c r="F402" s="131"/>
      <c r="G402" s="128" t="s">
        <v>53</v>
      </c>
      <c r="H402" s="154" t="s">
        <v>256</v>
      </c>
      <c r="I402" s="265" t="s">
        <v>810</v>
      </c>
      <c r="J402" s="263"/>
      <c r="K402" s="212"/>
      <c r="L402" s="212"/>
      <c r="M402" s="213"/>
      <c r="N402" s="213"/>
      <c r="O402" s="214"/>
      <c r="P402" s="106" t="b">
        <f t="shared" si="18"/>
        <v>0</v>
      </c>
    </row>
    <row r="403" spans="1:16" x14ac:dyDescent="0.3">
      <c r="A403" s="124">
        <v>15</v>
      </c>
      <c r="B403" s="37" t="s">
        <v>777</v>
      </c>
      <c r="C403" s="38">
        <v>27</v>
      </c>
      <c r="D403" s="125" t="s">
        <v>770</v>
      </c>
      <c r="E403" s="123" t="s">
        <v>802</v>
      </c>
      <c r="F403" s="131"/>
      <c r="G403" s="128" t="s">
        <v>53</v>
      </c>
      <c r="H403" s="154" t="s">
        <v>256</v>
      </c>
      <c r="I403" s="265" t="s">
        <v>810</v>
      </c>
      <c r="J403" s="263"/>
      <c r="K403" s="212"/>
      <c r="L403" s="212"/>
      <c r="M403" s="213"/>
      <c r="N403" s="213"/>
      <c r="O403" s="214"/>
      <c r="P403" s="106" t="b">
        <f t="shared" si="18"/>
        <v>0</v>
      </c>
    </row>
    <row r="404" spans="1:16" x14ac:dyDescent="0.3">
      <c r="A404" s="124">
        <v>15</v>
      </c>
      <c r="B404" s="37" t="s">
        <v>777</v>
      </c>
      <c r="C404" s="38">
        <v>28</v>
      </c>
      <c r="D404" s="181" t="s">
        <v>776</v>
      </c>
      <c r="E404" s="123" t="s">
        <v>803</v>
      </c>
      <c r="F404" s="126" t="s">
        <v>52</v>
      </c>
      <c r="G404" s="131"/>
      <c r="H404" s="122" t="s">
        <v>256</v>
      </c>
      <c r="I404" s="266" t="s">
        <v>810</v>
      </c>
      <c r="J404" s="263"/>
      <c r="K404" s="212"/>
      <c r="L404" s="212"/>
      <c r="M404" s="213"/>
      <c r="N404" s="213"/>
      <c r="O404" s="214"/>
      <c r="P404" s="106" t="b">
        <f t="shared" si="18"/>
        <v>0</v>
      </c>
    </row>
    <row r="405" spans="1:16" x14ac:dyDescent="0.3">
      <c r="A405" s="124">
        <v>15</v>
      </c>
      <c r="B405" s="37" t="s">
        <v>777</v>
      </c>
      <c r="C405" s="38">
        <v>29</v>
      </c>
      <c r="D405" s="125" t="s">
        <v>771</v>
      </c>
      <c r="E405" s="123" t="s">
        <v>804</v>
      </c>
      <c r="F405" s="126" t="s">
        <v>52</v>
      </c>
      <c r="G405" s="131"/>
      <c r="H405" s="122" t="s">
        <v>256</v>
      </c>
      <c r="I405" s="266" t="s">
        <v>810</v>
      </c>
      <c r="J405" s="263" t="s">
        <v>1383</v>
      </c>
      <c r="K405" s="212"/>
      <c r="L405" s="212"/>
      <c r="M405" s="213"/>
      <c r="N405" s="213"/>
      <c r="O405" s="214"/>
      <c r="P405" s="106" t="b">
        <f t="shared" si="18"/>
        <v>1</v>
      </c>
    </row>
    <row r="406" spans="1:16" x14ac:dyDescent="0.3">
      <c r="A406" s="124">
        <v>15</v>
      </c>
      <c r="B406" s="37" t="s">
        <v>777</v>
      </c>
      <c r="C406" s="38">
        <v>30</v>
      </c>
      <c r="D406" s="125" t="s">
        <v>772</v>
      </c>
      <c r="E406" s="123" t="s">
        <v>805</v>
      </c>
      <c r="F406" s="131"/>
      <c r="G406" s="128" t="s">
        <v>53</v>
      </c>
      <c r="H406" s="154" t="s">
        <v>260</v>
      </c>
      <c r="I406" s="265" t="s">
        <v>809</v>
      </c>
      <c r="J406" s="263"/>
      <c r="K406" s="212"/>
      <c r="L406" s="212"/>
      <c r="M406" s="213"/>
      <c r="N406" s="213"/>
      <c r="O406" s="214"/>
      <c r="P406" s="106" t="b">
        <f t="shared" si="18"/>
        <v>0</v>
      </c>
    </row>
    <row r="407" spans="1:16" x14ac:dyDescent="0.3">
      <c r="A407" s="124">
        <v>15</v>
      </c>
      <c r="B407" s="37" t="s">
        <v>777</v>
      </c>
      <c r="C407" s="38">
        <v>31</v>
      </c>
      <c r="D407" s="125" t="s">
        <v>773</v>
      </c>
      <c r="E407" s="123" t="s">
        <v>806</v>
      </c>
      <c r="F407" s="126" t="s">
        <v>52</v>
      </c>
      <c r="G407" s="131"/>
      <c r="H407" s="122" t="s">
        <v>260</v>
      </c>
      <c r="I407" s="266" t="s">
        <v>809</v>
      </c>
      <c r="J407" s="263" t="s">
        <v>1383</v>
      </c>
      <c r="K407" s="212"/>
      <c r="L407" s="212"/>
      <c r="M407" s="213"/>
      <c r="N407" s="213"/>
      <c r="O407" s="214"/>
      <c r="P407" s="106" t="b">
        <f t="shared" si="18"/>
        <v>1</v>
      </c>
    </row>
    <row r="408" spans="1:16" x14ac:dyDescent="0.3">
      <c r="A408" s="124">
        <v>15</v>
      </c>
      <c r="B408" s="37" t="s">
        <v>777</v>
      </c>
      <c r="C408" s="38">
        <v>32</v>
      </c>
      <c r="D408" s="125" t="s">
        <v>774</v>
      </c>
      <c r="E408" s="123" t="s">
        <v>807</v>
      </c>
      <c r="F408" s="126" t="s">
        <v>52</v>
      </c>
      <c r="G408" s="131"/>
      <c r="H408" s="122" t="s">
        <v>256</v>
      </c>
      <c r="I408" s="266" t="s">
        <v>810</v>
      </c>
      <c r="J408" s="263"/>
      <c r="K408" s="212"/>
      <c r="L408" s="212"/>
      <c r="M408" s="213"/>
      <c r="N408" s="213"/>
      <c r="O408" s="214"/>
      <c r="P408" s="106" t="b">
        <f t="shared" si="18"/>
        <v>0</v>
      </c>
    </row>
    <row r="409" spans="1:16" ht="19.5" thickBot="1" x14ac:dyDescent="0.35">
      <c r="A409" s="132">
        <v>15</v>
      </c>
      <c r="B409" s="39" t="s">
        <v>777</v>
      </c>
      <c r="C409" s="45">
        <v>33</v>
      </c>
      <c r="D409" s="133" t="s">
        <v>775</v>
      </c>
      <c r="E409" s="159" t="s">
        <v>808</v>
      </c>
      <c r="F409" s="174"/>
      <c r="G409" s="135" t="s">
        <v>53</v>
      </c>
      <c r="H409" s="175" t="s">
        <v>256</v>
      </c>
      <c r="I409" s="267" t="s">
        <v>810</v>
      </c>
      <c r="J409" s="263"/>
      <c r="K409" s="212"/>
      <c r="L409" s="212"/>
      <c r="M409" s="213"/>
      <c r="N409" s="213"/>
      <c r="O409" s="214"/>
      <c r="P409" s="106" t="b">
        <f t="shared" si="18"/>
        <v>0</v>
      </c>
    </row>
    <row r="410" spans="1:16" ht="19.5" hidden="1" thickBot="1" x14ac:dyDescent="0.3">
      <c r="A410" s="188">
        <v>15</v>
      </c>
      <c r="B410" s="189" t="s">
        <v>777</v>
      </c>
      <c r="C410" s="190">
        <f>COUNTA(C377:C409)</f>
        <v>33</v>
      </c>
      <c r="D410" s="191" t="s">
        <v>1</v>
      </c>
      <c r="E410" s="191" t="s">
        <v>1374</v>
      </c>
      <c r="F410" s="190">
        <f>COUNTA(F377:F409)</f>
        <v>18</v>
      </c>
      <c r="G410" s="190">
        <f>COUNTA(G377:G409)</f>
        <v>15</v>
      </c>
      <c r="H410" s="298" t="s">
        <v>3</v>
      </c>
      <c r="I410" s="299"/>
      <c r="J410" s="107">
        <f t="shared" ref="J410:O410" si="21">COUNTA(J377:J409)</f>
        <v>14</v>
      </c>
      <c r="K410" s="107">
        <f t="shared" si="21"/>
        <v>1</v>
      </c>
      <c r="L410" s="107">
        <f t="shared" si="21"/>
        <v>1</v>
      </c>
      <c r="M410" s="107">
        <f>COUNTA(M377:M409)</f>
        <v>0</v>
      </c>
      <c r="N410" s="107">
        <f t="shared" si="21"/>
        <v>2</v>
      </c>
      <c r="O410" s="108">
        <f t="shared" si="21"/>
        <v>1</v>
      </c>
      <c r="P410" s="113">
        <f>COUNTIF(P377:P409,TRUE)</f>
        <v>14</v>
      </c>
    </row>
    <row r="411" spans="1:16" ht="19.5" thickBot="1" x14ac:dyDescent="0.35">
      <c r="A411" s="119">
        <v>16</v>
      </c>
      <c r="B411" s="41" t="s">
        <v>834</v>
      </c>
      <c r="C411" s="44">
        <v>1</v>
      </c>
      <c r="D411" s="187" t="s">
        <v>811</v>
      </c>
      <c r="E411" s="153" t="s">
        <v>835</v>
      </c>
      <c r="F411" s="151" t="s">
        <v>52</v>
      </c>
      <c r="G411" s="168"/>
      <c r="H411" s="152" t="s">
        <v>262</v>
      </c>
      <c r="I411" s="264" t="s">
        <v>580</v>
      </c>
      <c r="J411" s="261" t="s">
        <v>1383</v>
      </c>
      <c r="K411" s="221"/>
      <c r="L411" s="221"/>
      <c r="M411" s="222"/>
      <c r="N411" s="221" t="s">
        <v>1383</v>
      </c>
      <c r="O411" s="223"/>
      <c r="P411" s="106" t="b">
        <f t="shared" si="18"/>
        <v>1</v>
      </c>
    </row>
    <row r="412" spans="1:16" x14ac:dyDescent="0.3">
      <c r="A412" s="124">
        <v>16</v>
      </c>
      <c r="B412" s="37" t="s">
        <v>834</v>
      </c>
      <c r="C412" s="38">
        <v>2</v>
      </c>
      <c r="D412" s="125" t="s">
        <v>812</v>
      </c>
      <c r="E412" s="123" t="s">
        <v>836</v>
      </c>
      <c r="F412" s="126" t="s">
        <v>52</v>
      </c>
      <c r="G412" s="131"/>
      <c r="H412" s="122" t="s">
        <v>262</v>
      </c>
      <c r="I412" s="266" t="s">
        <v>580</v>
      </c>
      <c r="J412" s="262"/>
      <c r="K412" s="218"/>
      <c r="L412" s="218"/>
      <c r="M412" s="219"/>
      <c r="N412" s="219"/>
      <c r="O412" s="220"/>
      <c r="P412" s="106" t="b">
        <f t="shared" si="18"/>
        <v>0</v>
      </c>
    </row>
    <row r="413" spans="1:16" x14ac:dyDescent="0.3">
      <c r="A413" s="140">
        <v>16</v>
      </c>
      <c r="B413" s="36" t="s">
        <v>834</v>
      </c>
      <c r="C413" s="46">
        <v>3</v>
      </c>
      <c r="D413" s="120" t="s">
        <v>813</v>
      </c>
      <c r="E413" s="144" t="s">
        <v>837</v>
      </c>
      <c r="F413" s="121" t="s">
        <v>52</v>
      </c>
      <c r="G413" s="165"/>
      <c r="H413" s="142" t="s">
        <v>170</v>
      </c>
      <c r="I413" s="268" t="s">
        <v>265</v>
      </c>
      <c r="J413" s="263" t="s">
        <v>1383</v>
      </c>
      <c r="K413" s="212"/>
      <c r="L413" s="212"/>
      <c r="M413" s="213"/>
      <c r="N413" s="213"/>
      <c r="O413" s="214"/>
      <c r="P413" s="106" t="b">
        <f t="shared" si="18"/>
        <v>1</v>
      </c>
    </row>
    <row r="414" spans="1:16" x14ac:dyDescent="0.3">
      <c r="A414" s="124">
        <v>16</v>
      </c>
      <c r="B414" s="37" t="s">
        <v>834</v>
      </c>
      <c r="C414" s="38">
        <v>4</v>
      </c>
      <c r="D414" s="125" t="s">
        <v>814</v>
      </c>
      <c r="E414" s="123" t="s">
        <v>838</v>
      </c>
      <c r="F414" s="131"/>
      <c r="G414" s="128" t="s">
        <v>53</v>
      </c>
      <c r="H414" s="154" t="s">
        <v>483</v>
      </c>
      <c r="I414" s="265" t="s">
        <v>472</v>
      </c>
      <c r="J414" s="263"/>
      <c r="K414" s="212"/>
      <c r="L414" s="212"/>
      <c r="M414" s="213"/>
      <c r="N414" s="213"/>
      <c r="O414" s="214"/>
      <c r="P414" s="106" t="b">
        <f t="shared" si="18"/>
        <v>0</v>
      </c>
    </row>
    <row r="415" spans="1:16" x14ac:dyDescent="0.3">
      <c r="A415" s="124">
        <v>16</v>
      </c>
      <c r="B415" s="37" t="s">
        <v>834</v>
      </c>
      <c r="C415" s="38">
        <v>5</v>
      </c>
      <c r="D415" s="125" t="s">
        <v>815</v>
      </c>
      <c r="E415" s="123" t="s">
        <v>839</v>
      </c>
      <c r="F415" s="126" t="s">
        <v>52</v>
      </c>
      <c r="G415" s="131"/>
      <c r="H415" s="122" t="s">
        <v>170</v>
      </c>
      <c r="I415" s="266" t="s">
        <v>265</v>
      </c>
      <c r="J415" s="263" t="s">
        <v>1383</v>
      </c>
      <c r="K415" s="212"/>
      <c r="L415" s="212"/>
      <c r="M415" s="213"/>
      <c r="N415" s="213"/>
      <c r="O415" s="214"/>
      <c r="P415" s="106" t="b">
        <f t="shared" ref="P415:P478" si="22">IF(COUNTA(J415:O415)=0,FALSE,TRUE)</f>
        <v>1</v>
      </c>
    </row>
    <row r="416" spans="1:16" x14ac:dyDescent="0.3">
      <c r="A416" s="124">
        <v>16</v>
      </c>
      <c r="B416" s="37" t="s">
        <v>834</v>
      </c>
      <c r="C416" s="38">
        <v>6</v>
      </c>
      <c r="D416" s="125" t="s">
        <v>170</v>
      </c>
      <c r="E416" s="123" t="s">
        <v>265</v>
      </c>
      <c r="F416" s="126" t="s">
        <v>52</v>
      </c>
      <c r="G416" s="131"/>
      <c r="H416" s="122" t="s">
        <v>262</v>
      </c>
      <c r="I416" s="266" t="s">
        <v>580</v>
      </c>
      <c r="J416" s="263" t="s">
        <v>1383</v>
      </c>
      <c r="K416" s="212"/>
      <c r="L416" s="212"/>
      <c r="M416" s="213"/>
      <c r="N416" s="213"/>
      <c r="O416" s="214"/>
      <c r="P416" s="106" t="b">
        <f t="shared" si="22"/>
        <v>1</v>
      </c>
    </row>
    <row r="417" spans="1:16" x14ac:dyDescent="0.3">
      <c r="A417" s="124">
        <v>16</v>
      </c>
      <c r="B417" s="37" t="s">
        <v>834</v>
      </c>
      <c r="C417" s="38">
        <v>7</v>
      </c>
      <c r="D417" s="125" t="s">
        <v>816</v>
      </c>
      <c r="E417" s="123" t="s">
        <v>840</v>
      </c>
      <c r="F417" s="126" t="s">
        <v>52</v>
      </c>
      <c r="G417" s="131"/>
      <c r="H417" s="122" t="s">
        <v>170</v>
      </c>
      <c r="I417" s="266" t="s">
        <v>265</v>
      </c>
      <c r="J417" s="263" t="s">
        <v>1383</v>
      </c>
      <c r="K417" s="212" t="s">
        <v>1383</v>
      </c>
      <c r="L417" s="212"/>
      <c r="M417" s="213"/>
      <c r="N417" s="213"/>
      <c r="O417" s="214"/>
      <c r="P417" s="106" t="b">
        <f t="shared" si="22"/>
        <v>1</v>
      </c>
    </row>
    <row r="418" spans="1:16" x14ac:dyDescent="0.3">
      <c r="A418" s="124">
        <v>16</v>
      </c>
      <c r="B418" s="37" t="s">
        <v>834</v>
      </c>
      <c r="C418" s="38">
        <v>8</v>
      </c>
      <c r="D418" s="125" t="s">
        <v>817</v>
      </c>
      <c r="E418" s="123" t="s">
        <v>841</v>
      </c>
      <c r="F418" s="126" t="s">
        <v>52</v>
      </c>
      <c r="G418" s="131"/>
      <c r="H418" s="122" t="s">
        <v>170</v>
      </c>
      <c r="I418" s="266" t="s">
        <v>265</v>
      </c>
      <c r="J418" s="263"/>
      <c r="K418" s="212"/>
      <c r="L418" s="212"/>
      <c r="M418" s="213"/>
      <c r="N418" s="213"/>
      <c r="O418" s="214"/>
      <c r="P418" s="106" t="b">
        <f t="shared" si="22"/>
        <v>0</v>
      </c>
    </row>
    <row r="419" spans="1:16" x14ac:dyDescent="0.3">
      <c r="A419" s="124">
        <v>16</v>
      </c>
      <c r="B419" s="37" t="s">
        <v>834</v>
      </c>
      <c r="C419" s="38">
        <v>9</v>
      </c>
      <c r="D419" s="125" t="s">
        <v>818</v>
      </c>
      <c r="E419" s="123" t="s">
        <v>842</v>
      </c>
      <c r="F419" s="126" t="s">
        <v>52</v>
      </c>
      <c r="G419" s="131"/>
      <c r="H419" s="122" t="s">
        <v>170</v>
      </c>
      <c r="I419" s="266" t="s">
        <v>265</v>
      </c>
      <c r="J419" s="263" t="s">
        <v>1383</v>
      </c>
      <c r="K419" s="212"/>
      <c r="L419" s="212"/>
      <c r="M419" s="213"/>
      <c r="N419" s="213"/>
      <c r="O419" s="214"/>
      <c r="P419" s="106" t="b">
        <f t="shared" si="22"/>
        <v>1</v>
      </c>
    </row>
    <row r="420" spans="1:16" x14ac:dyDescent="0.3">
      <c r="A420" s="124">
        <v>16</v>
      </c>
      <c r="B420" s="37" t="s">
        <v>834</v>
      </c>
      <c r="C420" s="38">
        <v>10</v>
      </c>
      <c r="D420" s="125" t="s">
        <v>819</v>
      </c>
      <c r="E420" s="123" t="s">
        <v>843</v>
      </c>
      <c r="F420" s="126" t="s">
        <v>52</v>
      </c>
      <c r="G420" s="131"/>
      <c r="H420" s="122" t="s">
        <v>170</v>
      </c>
      <c r="I420" s="266" t="s">
        <v>265</v>
      </c>
      <c r="J420" s="263" t="s">
        <v>1383</v>
      </c>
      <c r="K420" s="212"/>
      <c r="L420" s="212"/>
      <c r="M420" s="213"/>
      <c r="N420" s="213"/>
      <c r="O420" s="214"/>
      <c r="P420" s="106" t="b">
        <f t="shared" si="22"/>
        <v>1</v>
      </c>
    </row>
    <row r="421" spans="1:16" x14ac:dyDescent="0.3">
      <c r="A421" s="124">
        <v>16</v>
      </c>
      <c r="B421" s="37" t="s">
        <v>834</v>
      </c>
      <c r="C421" s="38">
        <v>11</v>
      </c>
      <c r="D421" s="125" t="s">
        <v>820</v>
      </c>
      <c r="E421" s="123" t="s">
        <v>844</v>
      </c>
      <c r="F421" s="126" t="s">
        <v>52</v>
      </c>
      <c r="G421" s="131"/>
      <c r="H421" s="122" t="s">
        <v>170</v>
      </c>
      <c r="I421" s="266" t="s">
        <v>265</v>
      </c>
      <c r="J421" s="263" t="s">
        <v>1383</v>
      </c>
      <c r="K421" s="212"/>
      <c r="L421" s="212"/>
      <c r="M421" s="213"/>
      <c r="N421" s="213"/>
      <c r="O421" s="214"/>
      <c r="P421" s="106" t="b">
        <f t="shared" si="22"/>
        <v>1</v>
      </c>
    </row>
    <row r="422" spans="1:16" x14ac:dyDescent="0.3">
      <c r="A422" s="124">
        <v>16</v>
      </c>
      <c r="B422" s="37" t="s">
        <v>834</v>
      </c>
      <c r="C422" s="38">
        <v>12</v>
      </c>
      <c r="D422" s="125" t="s">
        <v>821</v>
      </c>
      <c r="E422" s="123" t="s">
        <v>845</v>
      </c>
      <c r="F422" s="126" t="s">
        <v>52</v>
      </c>
      <c r="G422" s="131"/>
      <c r="H422" s="122" t="s">
        <v>262</v>
      </c>
      <c r="I422" s="266" t="s">
        <v>580</v>
      </c>
      <c r="J422" s="263" t="s">
        <v>1383</v>
      </c>
      <c r="K422" s="212"/>
      <c r="L422" s="212"/>
      <c r="M422" s="213"/>
      <c r="N422" s="213"/>
      <c r="O422" s="214"/>
      <c r="P422" s="106" t="b">
        <f t="shared" si="22"/>
        <v>1</v>
      </c>
    </row>
    <row r="423" spans="1:16" x14ac:dyDescent="0.3">
      <c r="A423" s="124">
        <v>16</v>
      </c>
      <c r="B423" s="37" t="s">
        <v>834</v>
      </c>
      <c r="C423" s="38">
        <v>13</v>
      </c>
      <c r="D423" s="125" t="s">
        <v>822</v>
      </c>
      <c r="E423" s="123" t="s">
        <v>846</v>
      </c>
      <c r="F423" s="126" t="s">
        <v>52</v>
      </c>
      <c r="G423" s="131"/>
      <c r="H423" s="122" t="s">
        <v>262</v>
      </c>
      <c r="I423" s="266" t="s">
        <v>580</v>
      </c>
      <c r="J423" s="263"/>
      <c r="K423" s="212"/>
      <c r="L423" s="212"/>
      <c r="M423" s="213"/>
      <c r="N423" s="213"/>
      <c r="O423" s="214"/>
      <c r="P423" s="106" t="b">
        <f t="shared" si="22"/>
        <v>0</v>
      </c>
    </row>
    <row r="424" spans="1:16" x14ac:dyDescent="0.3">
      <c r="A424" s="124">
        <v>16</v>
      </c>
      <c r="B424" s="37" t="s">
        <v>834</v>
      </c>
      <c r="C424" s="38">
        <v>14</v>
      </c>
      <c r="D424" s="125" t="s">
        <v>823</v>
      </c>
      <c r="E424" s="123" t="s">
        <v>847</v>
      </c>
      <c r="F424" s="126" t="s">
        <v>52</v>
      </c>
      <c r="G424" s="131"/>
      <c r="H424" s="122" t="s">
        <v>170</v>
      </c>
      <c r="I424" s="266" t="s">
        <v>265</v>
      </c>
      <c r="J424" s="263" t="s">
        <v>1383</v>
      </c>
      <c r="K424" s="212"/>
      <c r="L424" s="212"/>
      <c r="M424" s="213"/>
      <c r="N424" s="212" t="s">
        <v>1383</v>
      </c>
      <c r="O424" s="214"/>
      <c r="P424" s="106" t="b">
        <f t="shared" si="22"/>
        <v>1</v>
      </c>
    </row>
    <row r="425" spans="1:16" x14ac:dyDescent="0.3">
      <c r="A425" s="124">
        <v>16</v>
      </c>
      <c r="B425" s="37" t="s">
        <v>834</v>
      </c>
      <c r="C425" s="38">
        <v>15</v>
      </c>
      <c r="D425" s="125" t="s">
        <v>824</v>
      </c>
      <c r="E425" s="123" t="s">
        <v>848</v>
      </c>
      <c r="F425" s="126" t="s">
        <v>52</v>
      </c>
      <c r="G425" s="131"/>
      <c r="H425" s="122" t="s">
        <v>170</v>
      </c>
      <c r="I425" s="266" t="s">
        <v>265</v>
      </c>
      <c r="J425" s="263" t="s">
        <v>1383</v>
      </c>
      <c r="K425" s="212"/>
      <c r="L425" s="212"/>
      <c r="M425" s="213"/>
      <c r="N425" s="213"/>
      <c r="O425" s="214"/>
      <c r="P425" s="106" t="b">
        <f t="shared" si="22"/>
        <v>1</v>
      </c>
    </row>
    <row r="426" spans="1:16" x14ac:dyDescent="0.3">
      <c r="A426" s="124">
        <v>16</v>
      </c>
      <c r="B426" s="37" t="s">
        <v>834</v>
      </c>
      <c r="C426" s="38">
        <v>16</v>
      </c>
      <c r="D426" s="125" t="s">
        <v>849</v>
      </c>
      <c r="E426" s="123" t="s">
        <v>850</v>
      </c>
      <c r="F426" s="126" t="s">
        <v>52</v>
      </c>
      <c r="G426" s="131"/>
      <c r="H426" s="122" t="s">
        <v>170</v>
      </c>
      <c r="I426" s="266" t="s">
        <v>265</v>
      </c>
      <c r="J426" s="263" t="s">
        <v>1383</v>
      </c>
      <c r="K426" s="212"/>
      <c r="L426" s="212"/>
      <c r="M426" s="213"/>
      <c r="N426" s="213"/>
      <c r="O426" s="214"/>
      <c r="P426" s="106" t="b">
        <f t="shared" si="22"/>
        <v>1</v>
      </c>
    </row>
    <row r="427" spans="1:16" x14ac:dyDescent="0.3">
      <c r="A427" s="124">
        <v>16</v>
      </c>
      <c r="B427" s="37" t="s">
        <v>834</v>
      </c>
      <c r="C427" s="38">
        <v>17</v>
      </c>
      <c r="D427" s="125" t="s">
        <v>825</v>
      </c>
      <c r="E427" s="123" t="s">
        <v>851</v>
      </c>
      <c r="F427" s="126" t="s">
        <v>52</v>
      </c>
      <c r="G427" s="131"/>
      <c r="H427" s="122" t="s">
        <v>262</v>
      </c>
      <c r="I427" s="266" t="s">
        <v>580</v>
      </c>
      <c r="J427" s="263" t="s">
        <v>1383</v>
      </c>
      <c r="K427" s="212"/>
      <c r="L427" s="212"/>
      <c r="M427" s="212" t="s">
        <v>1383</v>
      </c>
      <c r="N427" s="213"/>
      <c r="O427" s="214"/>
      <c r="P427" s="106" t="b">
        <f t="shared" si="22"/>
        <v>1</v>
      </c>
    </row>
    <row r="428" spans="1:16" x14ac:dyDescent="0.3">
      <c r="A428" s="124">
        <v>16</v>
      </c>
      <c r="B428" s="37" t="s">
        <v>834</v>
      </c>
      <c r="C428" s="38">
        <v>18</v>
      </c>
      <c r="D428" s="125" t="s">
        <v>826</v>
      </c>
      <c r="E428" s="123" t="s">
        <v>852</v>
      </c>
      <c r="F428" s="126" t="s">
        <v>52</v>
      </c>
      <c r="G428" s="131"/>
      <c r="H428" s="122" t="s">
        <v>267</v>
      </c>
      <c r="I428" s="266" t="s">
        <v>268</v>
      </c>
      <c r="J428" s="263" t="s">
        <v>1383</v>
      </c>
      <c r="K428" s="212"/>
      <c r="L428" s="212"/>
      <c r="M428" s="213"/>
      <c r="N428" s="213"/>
      <c r="O428" s="214"/>
      <c r="P428" s="106" t="b">
        <f t="shared" si="22"/>
        <v>1</v>
      </c>
    </row>
    <row r="429" spans="1:16" x14ac:dyDescent="0.3">
      <c r="A429" s="124">
        <v>16</v>
      </c>
      <c r="B429" s="37" t="s">
        <v>834</v>
      </c>
      <c r="C429" s="38">
        <v>19</v>
      </c>
      <c r="D429" s="125" t="s">
        <v>827</v>
      </c>
      <c r="E429" s="123" t="s">
        <v>853</v>
      </c>
      <c r="F429" s="126" t="s">
        <v>52</v>
      </c>
      <c r="G429" s="131"/>
      <c r="H429" s="122" t="s">
        <v>170</v>
      </c>
      <c r="I429" s="266" t="s">
        <v>265</v>
      </c>
      <c r="J429" s="263" t="s">
        <v>1383</v>
      </c>
      <c r="K429" s="212"/>
      <c r="L429" s="212"/>
      <c r="M429" s="213"/>
      <c r="N429" s="213"/>
      <c r="O429" s="214"/>
      <c r="P429" s="106" t="b">
        <f t="shared" si="22"/>
        <v>1</v>
      </c>
    </row>
    <row r="430" spans="1:16" x14ac:dyDescent="0.3">
      <c r="A430" s="124">
        <v>16</v>
      </c>
      <c r="B430" s="37" t="s">
        <v>834</v>
      </c>
      <c r="C430" s="38">
        <v>20</v>
      </c>
      <c r="D430" s="125" t="s">
        <v>828</v>
      </c>
      <c r="E430" s="123" t="s">
        <v>854</v>
      </c>
      <c r="F430" s="126" t="s">
        <v>52</v>
      </c>
      <c r="G430" s="131"/>
      <c r="H430" s="122" t="s">
        <v>170</v>
      </c>
      <c r="I430" s="266" t="s">
        <v>265</v>
      </c>
      <c r="J430" s="263" t="s">
        <v>1383</v>
      </c>
      <c r="K430" s="212"/>
      <c r="L430" s="212"/>
      <c r="M430" s="213"/>
      <c r="N430" s="213"/>
      <c r="O430" s="214" t="s">
        <v>1383</v>
      </c>
      <c r="P430" s="106" t="b">
        <f t="shared" si="22"/>
        <v>1</v>
      </c>
    </row>
    <row r="431" spans="1:16" x14ac:dyDescent="0.3">
      <c r="A431" s="124">
        <v>16</v>
      </c>
      <c r="B431" s="37" t="s">
        <v>834</v>
      </c>
      <c r="C431" s="38">
        <v>21</v>
      </c>
      <c r="D431" s="125" t="s">
        <v>829</v>
      </c>
      <c r="E431" s="123" t="s">
        <v>855</v>
      </c>
      <c r="F431" s="126" t="s">
        <v>52</v>
      </c>
      <c r="G431" s="131"/>
      <c r="H431" s="122" t="s">
        <v>262</v>
      </c>
      <c r="I431" s="266" t="s">
        <v>580</v>
      </c>
      <c r="J431" s="263" t="s">
        <v>1383</v>
      </c>
      <c r="K431" s="212"/>
      <c r="L431" s="212"/>
      <c r="M431" s="213"/>
      <c r="N431" s="213"/>
      <c r="O431" s="214"/>
      <c r="P431" s="106" t="b">
        <f t="shared" si="22"/>
        <v>1</v>
      </c>
    </row>
    <row r="432" spans="1:16" x14ac:dyDescent="0.3">
      <c r="A432" s="124">
        <v>16</v>
      </c>
      <c r="B432" s="37" t="s">
        <v>834</v>
      </c>
      <c r="C432" s="38">
        <v>22</v>
      </c>
      <c r="D432" s="125" t="s">
        <v>830</v>
      </c>
      <c r="E432" s="123" t="s">
        <v>856</v>
      </c>
      <c r="F432" s="131"/>
      <c r="G432" s="128" t="s">
        <v>53</v>
      </c>
      <c r="H432" s="154" t="s">
        <v>483</v>
      </c>
      <c r="I432" s="265" t="s">
        <v>472</v>
      </c>
      <c r="J432" s="263"/>
      <c r="K432" s="212"/>
      <c r="L432" s="212"/>
      <c r="M432" s="213"/>
      <c r="N432" s="213"/>
      <c r="O432" s="214"/>
      <c r="P432" s="106" t="b">
        <f t="shared" si="22"/>
        <v>0</v>
      </c>
    </row>
    <row r="433" spans="1:16" x14ac:dyDescent="0.3">
      <c r="A433" s="124">
        <v>16</v>
      </c>
      <c r="B433" s="37" t="s">
        <v>834</v>
      </c>
      <c r="C433" s="38">
        <v>23</v>
      </c>
      <c r="D433" s="125" t="s">
        <v>831</v>
      </c>
      <c r="E433" s="123" t="s">
        <v>857</v>
      </c>
      <c r="F433" s="126" t="s">
        <v>52</v>
      </c>
      <c r="G433" s="131"/>
      <c r="H433" s="122" t="s">
        <v>170</v>
      </c>
      <c r="I433" s="266" t="s">
        <v>265</v>
      </c>
      <c r="J433" s="263" t="s">
        <v>1383</v>
      </c>
      <c r="K433" s="212"/>
      <c r="L433" s="212"/>
      <c r="M433" s="213"/>
      <c r="N433" s="213"/>
      <c r="O433" s="214"/>
      <c r="P433" s="106" t="b">
        <f t="shared" si="22"/>
        <v>1</v>
      </c>
    </row>
    <row r="434" spans="1:16" x14ac:dyDescent="0.3">
      <c r="A434" s="124">
        <v>16</v>
      </c>
      <c r="B434" s="37" t="s">
        <v>834</v>
      </c>
      <c r="C434" s="38">
        <v>24</v>
      </c>
      <c r="D434" s="125" t="s">
        <v>832</v>
      </c>
      <c r="E434" s="123" t="s">
        <v>858</v>
      </c>
      <c r="F434" s="126" t="s">
        <v>52</v>
      </c>
      <c r="G434" s="131"/>
      <c r="H434" s="122" t="s">
        <v>262</v>
      </c>
      <c r="I434" s="266" t="s">
        <v>580</v>
      </c>
      <c r="J434" s="263"/>
      <c r="K434" s="212"/>
      <c r="L434" s="212"/>
      <c r="M434" s="213"/>
      <c r="N434" s="213"/>
      <c r="O434" s="214"/>
      <c r="P434" s="106" t="b">
        <f t="shared" si="22"/>
        <v>0</v>
      </c>
    </row>
    <row r="435" spans="1:16" ht="19.5" thickBot="1" x14ac:dyDescent="0.35">
      <c r="A435" s="132">
        <v>16</v>
      </c>
      <c r="B435" s="39" t="s">
        <v>834</v>
      </c>
      <c r="C435" s="45">
        <v>25</v>
      </c>
      <c r="D435" s="156" t="s">
        <v>833</v>
      </c>
      <c r="E435" s="159" t="s">
        <v>859</v>
      </c>
      <c r="F435" s="157" t="s">
        <v>52</v>
      </c>
      <c r="G435" s="174"/>
      <c r="H435" s="158" t="s">
        <v>262</v>
      </c>
      <c r="I435" s="269" t="s">
        <v>580</v>
      </c>
      <c r="J435" s="261" t="s">
        <v>1383</v>
      </c>
      <c r="K435" s="221"/>
      <c r="L435" s="221"/>
      <c r="M435" s="222"/>
      <c r="N435" s="221" t="s">
        <v>1383</v>
      </c>
      <c r="O435" s="223"/>
      <c r="P435" s="106" t="b">
        <f t="shared" si="22"/>
        <v>1</v>
      </c>
    </row>
    <row r="436" spans="1:16" ht="19.5" hidden="1" thickBot="1" x14ac:dyDescent="0.3">
      <c r="A436" s="188">
        <v>16</v>
      </c>
      <c r="B436" s="189" t="s">
        <v>834</v>
      </c>
      <c r="C436" s="190">
        <f>COUNTA(C411:C435)</f>
        <v>25</v>
      </c>
      <c r="D436" s="191" t="s">
        <v>1</v>
      </c>
      <c r="E436" s="191" t="s">
        <v>1374</v>
      </c>
      <c r="F436" s="190">
        <f>COUNTA(F411:F435)</f>
        <v>23</v>
      </c>
      <c r="G436" s="190">
        <f>COUNTA(G411:G435)</f>
        <v>2</v>
      </c>
      <c r="H436" s="298" t="s">
        <v>3</v>
      </c>
      <c r="I436" s="299"/>
      <c r="J436" s="115">
        <f t="shared" ref="J436:O436" si="23">COUNTA(J411:J435)</f>
        <v>19</v>
      </c>
      <c r="K436" s="115">
        <f t="shared" si="23"/>
        <v>1</v>
      </c>
      <c r="L436" s="115">
        <f t="shared" si="23"/>
        <v>0</v>
      </c>
      <c r="M436" s="115">
        <f t="shared" si="23"/>
        <v>1</v>
      </c>
      <c r="N436" s="115">
        <f t="shared" si="23"/>
        <v>3</v>
      </c>
      <c r="O436" s="116">
        <f t="shared" si="23"/>
        <v>1</v>
      </c>
      <c r="P436" s="108">
        <f>COUNTIF(P411:P435,TRUE)</f>
        <v>19</v>
      </c>
    </row>
    <row r="437" spans="1:16" x14ac:dyDescent="0.3">
      <c r="A437" s="119">
        <v>17</v>
      </c>
      <c r="B437" s="41" t="s">
        <v>906</v>
      </c>
      <c r="C437" s="44">
        <v>1</v>
      </c>
      <c r="D437" s="150" t="s">
        <v>11</v>
      </c>
      <c r="E437" s="153" t="s">
        <v>907</v>
      </c>
      <c r="F437" s="151" t="s">
        <v>52</v>
      </c>
      <c r="G437" s="168"/>
      <c r="H437" s="152" t="s">
        <v>262</v>
      </c>
      <c r="I437" s="153" t="s">
        <v>580</v>
      </c>
      <c r="J437" s="218" t="s">
        <v>1383</v>
      </c>
      <c r="K437" s="218"/>
      <c r="L437" s="218"/>
      <c r="M437" s="219"/>
      <c r="N437" s="219"/>
      <c r="O437" s="220"/>
      <c r="P437" s="106" t="b">
        <f t="shared" si="22"/>
        <v>1</v>
      </c>
    </row>
    <row r="438" spans="1:16" x14ac:dyDescent="0.3">
      <c r="A438" s="124">
        <v>17</v>
      </c>
      <c r="B438" s="37" t="s">
        <v>906</v>
      </c>
      <c r="C438" s="38">
        <v>2</v>
      </c>
      <c r="D438" s="125" t="s">
        <v>860</v>
      </c>
      <c r="E438" s="123" t="s">
        <v>908</v>
      </c>
      <c r="F438" s="126" t="s">
        <v>52</v>
      </c>
      <c r="G438" s="131"/>
      <c r="H438" s="122" t="s">
        <v>415</v>
      </c>
      <c r="I438" s="123" t="s">
        <v>414</v>
      </c>
      <c r="J438" s="212" t="s">
        <v>1383</v>
      </c>
      <c r="K438" s="212"/>
      <c r="L438" s="212"/>
      <c r="M438" s="213"/>
      <c r="N438" s="212" t="s">
        <v>1383</v>
      </c>
      <c r="O438" s="214" t="s">
        <v>1383</v>
      </c>
      <c r="P438" s="106" t="b">
        <f t="shared" si="22"/>
        <v>1</v>
      </c>
    </row>
    <row r="439" spans="1:16" x14ac:dyDescent="0.3">
      <c r="A439" s="124">
        <v>17</v>
      </c>
      <c r="B439" s="37" t="s">
        <v>906</v>
      </c>
      <c r="C439" s="38">
        <v>3</v>
      </c>
      <c r="D439" s="125" t="s">
        <v>20</v>
      </c>
      <c r="E439" s="123" t="s">
        <v>909</v>
      </c>
      <c r="F439" s="126" t="s">
        <v>52</v>
      </c>
      <c r="G439" s="131"/>
      <c r="H439" s="122" t="s">
        <v>413</v>
      </c>
      <c r="I439" s="123" t="s">
        <v>412</v>
      </c>
      <c r="J439" s="212" t="s">
        <v>1383</v>
      </c>
      <c r="K439" s="212"/>
      <c r="L439" s="212"/>
      <c r="M439" s="213"/>
      <c r="N439" s="212" t="s">
        <v>1383</v>
      </c>
      <c r="O439" s="214"/>
      <c r="P439" s="106" t="b">
        <f t="shared" si="22"/>
        <v>1</v>
      </c>
    </row>
    <row r="440" spans="1:16" x14ac:dyDescent="0.3">
      <c r="A440" s="124">
        <v>17</v>
      </c>
      <c r="B440" s="37" t="s">
        <v>906</v>
      </c>
      <c r="C440" s="38">
        <v>4</v>
      </c>
      <c r="D440" s="125" t="s">
        <v>861</v>
      </c>
      <c r="E440" s="123" t="s">
        <v>910</v>
      </c>
      <c r="F440" s="126" t="s">
        <v>52</v>
      </c>
      <c r="G440" s="131"/>
      <c r="H440" s="122" t="s">
        <v>413</v>
      </c>
      <c r="I440" s="123" t="s">
        <v>412</v>
      </c>
      <c r="J440" s="212" t="s">
        <v>1383</v>
      </c>
      <c r="K440" s="212" t="s">
        <v>1383</v>
      </c>
      <c r="L440" s="212"/>
      <c r="M440" s="213"/>
      <c r="N440" s="213"/>
      <c r="O440" s="214"/>
      <c r="P440" s="106" t="b">
        <f t="shared" si="22"/>
        <v>1</v>
      </c>
    </row>
    <row r="441" spans="1:16" x14ac:dyDescent="0.3">
      <c r="A441" s="124">
        <v>17</v>
      </c>
      <c r="B441" s="37" t="s">
        <v>906</v>
      </c>
      <c r="C441" s="38">
        <v>5</v>
      </c>
      <c r="D441" s="125" t="s">
        <v>862</v>
      </c>
      <c r="E441" s="123" t="s">
        <v>911</v>
      </c>
      <c r="F441" s="126" t="s">
        <v>52</v>
      </c>
      <c r="G441" s="131"/>
      <c r="H441" s="122" t="s">
        <v>961</v>
      </c>
      <c r="I441" s="123" t="s">
        <v>923</v>
      </c>
      <c r="J441" s="212" t="s">
        <v>1383</v>
      </c>
      <c r="K441" s="212"/>
      <c r="L441" s="212"/>
      <c r="M441" s="213"/>
      <c r="N441" s="213"/>
      <c r="O441" s="214" t="s">
        <v>1383</v>
      </c>
      <c r="P441" s="106" t="b">
        <f t="shared" si="22"/>
        <v>1</v>
      </c>
    </row>
    <row r="442" spans="1:16" x14ac:dyDescent="0.3">
      <c r="A442" s="124">
        <v>17</v>
      </c>
      <c r="B442" s="37" t="s">
        <v>906</v>
      </c>
      <c r="C442" s="38">
        <v>6</v>
      </c>
      <c r="D442" s="125" t="s">
        <v>863</v>
      </c>
      <c r="E442" s="123" t="s">
        <v>912</v>
      </c>
      <c r="F442" s="126" t="s">
        <v>52</v>
      </c>
      <c r="G442" s="131"/>
      <c r="H442" s="122" t="s">
        <v>262</v>
      </c>
      <c r="I442" s="123" t="s">
        <v>580</v>
      </c>
      <c r="J442" s="212" t="s">
        <v>1383</v>
      </c>
      <c r="K442" s="212" t="s">
        <v>1383</v>
      </c>
      <c r="L442" s="212"/>
      <c r="M442" s="213"/>
      <c r="N442" s="213"/>
      <c r="O442" s="214"/>
      <c r="P442" s="106" t="b">
        <f t="shared" si="22"/>
        <v>1</v>
      </c>
    </row>
    <row r="443" spans="1:16" x14ac:dyDescent="0.3">
      <c r="A443" s="124">
        <v>17</v>
      </c>
      <c r="B443" s="37" t="s">
        <v>906</v>
      </c>
      <c r="C443" s="38">
        <v>7</v>
      </c>
      <c r="D443" s="125" t="s">
        <v>864</v>
      </c>
      <c r="E443" s="123" t="s">
        <v>913</v>
      </c>
      <c r="F443" s="126" t="s">
        <v>52</v>
      </c>
      <c r="G443" s="131"/>
      <c r="H443" s="122" t="s">
        <v>415</v>
      </c>
      <c r="I443" s="123" t="s">
        <v>414</v>
      </c>
      <c r="J443" s="212" t="s">
        <v>1383</v>
      </c>
      <c r="K443" s="212"/>
      <c r="L443" s="212"/>
      <c r="M443" s="213"/>
      <c r="N443" s="213"/>
      <c r="O443" s="214" t="s">
        <v>1383</v>
      </c>
      <c r="P443" s="106" t="b">
        <f t="shared" si="22"/>
        <v>1</v>
      </c>
    </row>
    <row r="444" spans="1:16" x14ac:dyDescent="0.3">
      <c r="A444" s="124">
        <v>17</v>
      </c>
      <c r="B444" s="37" t="s">
        <v>906</v>
      </c>
      <c r="C444" s="38">
        <v>8</v>
      </c>
      <c r="D444" s="125" t="s">
        <v>865</v>
      </c>
      <c r="E444" s="123" t="s">
        <v>914</v>
      </c>
      <c r="F444" s="126" t="s">
        <v>52</v>
      </c>
      <c r="G444" s="131"/>
      <c r="H444" s="122" t="s">
        <v>1342</v>
      </c>
      <c r="I444" s="123" t="s">
        <v>577</v>
      </c>
      <c r="J444" s="212" t="s">
        <v>1383</v>
      </c>
      <c r="K444" s="212"/>
      <c r="L444" s="212"/>
      <c r="M444" s="213"/>
      <c r="N444" s="212" t="s">
        <v>1383</v>
      </c>
      <c r="O444" s="214" t="s">
        <v>1383</v>
      </c>
      <c r="P444" s="106" t="b">
        <f t="shared" si="22"/>
        <v>1</v>
      </c>
    </row>
    <row r="445" spans="1:16" x14ac:dyDescent="0.3">
      <c r="A445" s="124">
        <v>17</v>
      </c>
      <c r="B445" s="37" t="s">
        <v>906</v>
      </c>
      <c r="C445" s="38">
        <v>9</v>
      </c>
      <c r="D445" s="125" t="s">
        <v>866</v>
      </c>
      <c r="E445" s="123" t="s">
        <v>915</v>
      </c>
      <c r="F445" s="126" t="s">
        <v>52</v>
      </c>
      <c r="G445" s="131"/>
      <c r="H445" s="122" t="s">
        <v>413</v>
      </c>
      <c r="I445" s="123" t="s">
        <v>412</v>
      </c>
      <c r="J445" s="212" t="s">
        <v>1383</v>
      </c>
      <c r="K445" s="212"/>
      <c r="L445" s="212"/>
      <c r="M445" s="213"/>
      <c r="N445" s="213"/>
      <c r="O445" s="214"/>
      <c r="P445" s="106" t="b">
        <f t="shared" si="22"/>
        <v>1</v>
      </c>
    </row>
    <row r="446" spans="1:16" x14ac:dyDescent="0.3">
      <c r="A446" s="124">
        <v>17</v>
      </c>
      <c r="B446" s="37" t="s">
        <v>906</v>
      </c>
      <c r="C446" s="38">
        <v>10</v>
      </c>
      <c r="D446" s="125" t="s">
        <v>611</v>
      </c>
      <c r="E446" s="123" t="s">
        <v>916</v>
      </c>
      <c r="F446" s="126" t="s">
        <v>52</v>
      </c>
      <c r="G446" s="131"/>
      <c r="H446" s="122" t="s">
        <v>262</v>
      </c>
      <c r="I446" s="123" t="s">
        <v>580</v>
      </c>
      <c r="J446" s="212" t="s">
        <v>1383</v>
      </c>
      <c r="K446" s="212"/>
      <c r="L446" s="212"/>
      <c r="M446" s="213"/>
      <c r="N446" s="213"/>
      <c r="O446" s="214" t="s">
        <v>1383</v>
      </c>
      <c r="P446" s="106" t="b">
        <f t="shared" si="22"/>
        <v>1</v>
      </c>
    </row>
    <row r="447" spans="1:16" x14ac:dyDescent="0.3">
      <c r="A447" s="124">
        <v>17</v>
      </c>
      <c r="B447" s="37" t="s">
        <v>906</v>
      </c>
      <c r="C447" s="38">
        <v>11</v>
      </c>
      <c r="D447" s="125" t="s">
        <v>867</v>
      </c>
      <c r="E447" s="123" t="s">
        <v>917</v>
      </c>
      <c r="F447" s="126" t="s">
        <v>52</v>
      </c>
      <c r="G447" s="131"/>
      <c r="H447" s="122" t="s">
        <v>413</v>
      </c>
      <c r="I447" s="123" t="s">
        <v>412</v>
      </c>
      <c r="J447" s="212"/>
      <c r="K447" s="212"/>
      <c r="L447" s="212"/>
      <c r="M447" s="213"/>
      <c r="N447" s="213"/>
      <c r="O447" s="214"/>
      <c r="P447" s="106" t="b">
        <f t="shared" si="22"/>
        <v>0</v>
      </c>
    </row>
    <row r="448" spans="1:16" x14ac:dyDescent="0.3">
      <c r="A448" s="124">
        <v>17</v>
      </c>
      <c r="B448" s="37" t="s">
        <v>906</v>
      </c>
      <c r="C448" s="38">
        <v>12</v>
      </c>
      <c r="D448" s="125" t="s">
        <v>178</v>
      </c>
      <c r="E448" s="123" t="s">
        <v>918</v>
      </c>
      <c r="F448" s="126" t="s">
        <v>52</v>
      </c>
      <c r="G448" s="131"/>
      <c r="H448" s="122" t="s">
        <v>262</v>
      </c>
      <c r="I448" s="123" t="s">
        <v>580</v>
      </c>
      <c r="J448" s="212" t="s">
        <v>1383</v>
      </c>
      <c r="K448" s="212"/>
      <c r="L448" s="212"/>
      <c r="M448" s="213"/>
      <c r="N448" s="213"/>
      <c r="O448" s="214"/>
      <c r="P448" s="106" t="b">
        <f t="shared" si="22"/>
        <v>1</v>
      </c>
    </row>
    <row r="449" spans="1:16" x14ac:dyDescent="0.3">
      <c r="A449" s="124">
        <v>17</v>
      </c>
      <c r="B449" s="37" t="s">
        <v>906</v>
      </c>
      <c r="C449" s="38">
        <v>13</v>
      </c>
      <c r="D449" s="125" t="s">
        <v>868</v>
      </c>
      <c r="E449" s="123" t="s">
        <v>919</v>
      </c>
      <c r="F449" s="126" t="s">
        <v>52</v>
      </c>
      <c r="G449" s="131"/>
      <c r="H449" s="122" t="s">
        <v>413</v>
      </c>
      <c r="I449" s="123" t="s">
        <v>412</v>
      </c>
      <c r="J449" s="212" t="s">
        <v>1383</v>
      </c>
      <c r="K449" s="212"/>
      <c r="L449" s="212"/>
      <c r="M449" s="213"/>
      <c r="N449" s="212" t="s">
        <v>1383</v>
      </c>
      <c r="O449" s="214" t="s">
        <v>1383</v>
      </c>
      <c r="P449" s="106" t="b">
        <f t="shared" si="22"/>
        <v>1</v>
      </c>
    </row>
    <row r="450" spans="1:16" x14ac:dyDescent="0.3">
      <c r="A450" s="124">
        <v>17</v>
      </c>
      <c r="B450" s="37" t="s">
        <v>906</v>
      </c>
      <c r="C450" s="38">
        <v>14</v>
      </c>
      <c r="D450" s="125" t="s">
        <v>67</v>
      </c>
      <c r="E450" s="123" t="s">
        <v>920</v>
      </c>
      <c r="F450" s="126" t="s">
        <v>52</v>
      </c>
      <c r="G450" s="131"/>
      <c r="H450" s="122" t="s">
        <v>262</v>
      </c>
      <c r="I450" s="123" t="s">
        <v>580</v>
      </c>
      <c r="J450" s="212" t="s">
        <v>1383</v>
      </c>
      <c r="K450" s="212"/>
      <c r="L450" s="212"/>
      <c r="M450" s="213"/>
      <c r="N450" s="213"/>
      <c r="O450" s="214"/>
      <c r="P450" s="106" t="b">
        <f t="shared" si="22"/>
        <v>1</v>
      </c>
    </row>
    <row r="451" spans="1:16" x14ac:dyDescent="0.3">
      <c r="A451" s="124">
        <v>17</v>
      </c>
      <c r="B451" s="37" t="s">
        <v>906</v>
      </c>
      <c r="C451" s="38">
        <v>15</v>
      </c>
      <c r="D451" s="125" t="s">
        <v>869</v>
      </c>
      <c r="E451" s="123" t="s">
        <v>921</v>
      </c>
      <c r="F451" s="126" t="s">
        <v>52</v>
      </c>
      <c r="G451" s="131"/>
      <c r="H451" s="122" t="s">
        <v>413</v>
      </c>
      <c r="I451" s="123" t="s">
        <v>412</v>
      </c>
      <c r="J451" s="212" t="s">
        <v>1383</v>
      </c>
      <c r="K451" s="212" t="s">
        <v>1383</v>
      </c>
      <c r="L451" s="212"/>
      <c r="M451" s="213"/>
      <c r="N451" s="212" t="s">
        <v>1383</v>
      </c>
      <c r="O451" s="214"/>
      <c r="P451" s="106" t="b">
        <f t="shared" si="22"/>
        <v>1</v>
      </c>
    </row>
    <row r="452" spans="1:16" x14ac:dyDescent="0.3">
      <c r="A452" s="124">
        <v>17</v>
      </c>
      <c r="B452" s="37" t="s">
        <v>906</v>
      </c>
      <c r="C452" s="38">
        <v>16</v>
      </c>
      <c r="D452" s="125" t="s">
        <v>870</v>
      </c>
      <c r="E452" s="123" t="s">
        <v>922</v>
      </c>
      <c r="F452" s="126" t="s">
        <v>52</v>
      </c>
      <c r="G452" s="131"/>
      <c r="H452" s="122" t="s">
        <v>413</v>
      </c>
      <c r="I452" s="123" t="s">
        <v>412</v>
      </c>
      <c r="J452" s="212" t="s">
        <v>1383</v>
      </c>
      <c r="K452" s="212"/>
      <c r="L452" s="212"/>
      <c r="M452" s="213"/>
      <c r="N452" s="213"/>
      <c r="O452" s="214"/>
      <c r="P452" s="106" t="b">
        <f t="shared" si="22"/>
        <v>1</v>
      </c>
    </row>
    <row r="453" spans="1:16" x14ac:dyDescent="0.3">
      <c r="A453" s="124">
        <v>17</v>
      </c>
      <c r="B453" s="37" t="s">
        <v>906</v>
      </c>
      <c r="C453" s="38">
        <v>17</v>
      </c>
      <c r="D453" s="125" t="s">
        <v>871</v>
      </c>
      <c r="E453" s="123" t="s">
        <v>923</v>
      </c>
      <c r="F453" s="126" t="s">
        <v>52</v>
      </c>
      <c r="G453" s="131"/>
      <c r="H453" s="122" t="s">
        <v>415</v>
      </c>
      <c r="I453" s="123" t="s">
        <v>414</v>
      </c>
      <c r="J453" s="212" t="s">
        <v>1383</v>
      </c>
      <c r="K453" s="212"/>
      <c r="L453" s="212"/>
      <c r="M453" s="213"/>
      <c r="N453" s="213"/>
      <c r="O453" s="214"/>
      <c r="P453" s="106" t="b">
        <f t="shared" si="22"/>
        <v>1</v>
      </c>
    </row>
    <row r="454" spans="1:16" x14ac:dyDescent="0.3">
      <c r="A454" s="124">
        <v>17</v>
      </c>
      <c r="B454" s="37" t="s">
        <v>906</v>
      </c>
      <c r="C454" s="38">
        <v>18</v>
      </c>
      <c r="D454" s="125" t="s">
        <v>872</v>
      </c>
      <c r="E454" s="123" t="s">
        <v>924</v>
      </c>
      <c r="F454" s="126" t="s">
        <v>52</v>
      </c>
      <c r="G454" s="131"/>
      <c r="H454" s="122" t="s">
        <v>415</v>
      </c>
      <c r="I454" s="123" t="s">
        <v>414</v>
      </c>
      <c r="J454" s="212" t="s">
        <v>1383</v>
      </c>
      <c r="K454" s="212"/>
      <c r="L454" s="212"/>
      <c r="M454" s="213"/>
      <c r="N454" s="213"/>
      <c r="O454" s="214"/>
      <c r="P454" s="106" t="b">
        <f t="shared" si="22"/>
        <v>1</v>
      </c>
    </row>
    <row r="455" spans="1:16" x14ac:dyDescent="0.3">
      <c r="A455" s="124">
        <v>17</v>
      </c>
      <c r="B455" s="37" t="s">
        <v>906</v>
      </c>
      <c r="C455" s="38">
        <v>19</v>
      </c>
      <c r="D455" s="125" t="s">
        <v>873</v>
      </c>
      <c r="E455" s="123" t="s">
        <v>925</v>
      </c>
      <c r="F455" s="126" t="s">
        <v>52</v>
      </c>
      <c r="G455" s="131"/>
      <c r="H455" s="122" t="s">
        <v>413</v>
      </c>
      <c r="I455" s="123" t="s">
        <v>412</v>
      </c>
      <c r="J455" s="212" t="s">
        <v>1383</v>
      </c>
      <c r="K455" s="212"/>
      <c r="L455" s="212"/>
      <c r="M455" s="213"/>
      <c r="N455" s="213"/>
      <c r="O455" s="214"/>
      <c r="P455" s="106" t="b">
        <f t="shared" si="22"/>
        <v>1</v>
      </c>
    </row>
    <row r="456" spans="1:16" x14ac:dyDescent="0.3">
      <c r="A456" s="124">
        <v>17</v>
      </c>
      <c r="B456" s="37" t="s">
        <v>906</v>
      </c>
      <c r="C456" s="38">
        <v>20</v>
      </c>
      <c r="D456" s="125" t="s">
        <v>874</v>
      </c>
      <c r="E456" s="123" t="s">
        <v>926</v>
      </c>
      <c r="F456" s="126" t="s">
        <v>52</v>
      </c>
      <c r="G456" s="131"/>
      <c r="H456" s="122" t="s">
        <v>413</v>
      </c>
      <c r="I456" s="123" t="s">
        <v>412</v>
      </c>
      <c r="J456" s="212" t="s">
        <v>1383</v>
      </c>
      <c r="K456" s="212"/>
      <c r="L456" s="212"/>
      <c r="M456" s="213"/>
      <c r="N456" s="213"/>
      <c r="O456" s="214"/>
      <c r="P456" s="106" t="b">
        <f t="shared" si="22"/>
        <v>1</v>
      </c>
    </row>
    <row r="457" spans="1:16" x14ac:dyDescent="0.3">
      <c r="A457" s="124">
        <v>17</v>
      </c>
      <c r="B457" s="37" t="s">
        <v>906</v>
      </c>
      <c r="C457" s="38">
        <v>21</v>
      </c>
      <c r="D457" s="125" t="s">
        <v>93</v>
      </c>
      <c r="E457" s="123" t="s">
        <v>927</v>
      </c>
      <c r="F457" s="126" t="s">
        <v>52</v>
      </c>
      <c r="G457" s="131"/>
      <c r="H457" s="122" t="s">
        <v>262</v>
      </c>
      <c r="I457" s="123" t="s">
        <v>580</v>
      </c>
      <c r="J457" s="212" t="s">
        <v>1383</v>
      </c>
      <c r="K457" s="212" t="s">
        <v>1383</v>
      </c>
      <c r="L457" s="212" t="s">
        <v>1383</v>
      </c>
      <c r="M457" s="212"/>
      <c r="N457" s="213"/>
      <c r="O457" s="214"/>
      <c r="P457" s="106" t="b">
        <f t="shared" si="22"/>
        <v>1</v>
      </c>
    </row>
    <row r="458" spans="1:16" x14ac:dyDescent="0.3">
      <c r="A458" s="124">
        <v>17</v>
      </c>
      <c r="B458" s="37" t="s">
        <v>906</v>
      </c>
      <c r="C458" s="38">
        <v>22</v>
      </c>
      <c r="D458" s="125" t="s">
        <v>73</v>
      </c>
      <c r="E458" s="123" t="s">
        <v>928</v>
      </c>
      <c r="F458" s="126" t="s">
        <v>52</v>
      </c>
      <c r="G458" s="131"/>
      <c r="H458" s="122" t="s">
        <v>262</v>
      </c>
      <c r="I458" s="123" t="s">
        <v>580</v>
      </c>
      <c r="J458" s="212" t="s">
        <v>1383</v>
      </c>
      <c r="K458" s="212"/>
      <c r="L458" s="212"/>
      <c r="M458" s="213"/>
      <c r="N458" s="213"/>
      <c r="O458" s="214"/>
      <c r="P458" s="106" t="b">
        <f t="shared" si="22"/>
        <v>1</v>
      </c>
    </row>
    <row r="459" spans="1:16" x14ac:dyDescent="0.3">
      <c r="A459" s="124">
        <v>17</v>
      </c>
      <c r="B459" s="37" t="s">
        <v>906</v>
      </c>
      <c r="C459" s="38">
        <v>23</v>
      </c>
      <c r="D459" s="125" t="s">
        <v>875</v>
      </c>
      <c r="E459" s="123" t="s">
        <v>929</v>
      </c>
      <c r="F459" s="126" t="s">
        <v>52</v>
      </c>
      <c r="G459" s="131"/>
      <c r="H459" s="122" t="s">
        <v>262</v>
      </c>
      <c r="I459" s="123" t="s">
        <v>580</v>
      </c>
      <c r="J459" s="212" t="s">
        <v>1383</v>
      </c>
      <c r="K459" s="212"/>
      <c r="L459" s="212"/>
      <c r="M459" s="213"/>
      <c r="N459" s="213"/>
      <c r="O459" s="214" t="s">
        <v>1383</v>
      </c>
      <c r="P459" s="106" t="b">
        <f t="shared" si="22"/>
        <v>1</v>
      </c>
    </row>
    <row r="460" spans="1:16" x14ac:dyDescent="0.3">
      <c r="A460" s="124">
        <v>17</v>
      </c>
      <c r="B460" s="37" t="s">
        <v>906</v>
      </c>
      <c r="C460" s="38">
        <v>24</v>
      </c>
      <c r="D460" s="125" t="s">
        <v>876</v>
      </c>
      <c r="E460" s="123" t="s">
        <v>930</v>
      </c>
      <c r="F460" s="126" t="s">
        <v>52</v>
      </c>
      <c r="G460" s="131"/>
      <c r="H460" s="122" t="s">
        <v>415</v>
      </c>
      <c r="I460" s="123" t="s">
        <v>414</v>
      </c>
      <c r="J460" s="212" t="s">
        <v>1383</v>
      </c>
      <c r="K460" s="212"/>
      <c r="L460" s="212"/>
      <c r="M460" s="213"/>
      <c r="N460" s="213"/>
      <c r="O460" s="214"/>
      <c r="P460" s="106" t="b">
        <f t="shared" si="22"/>
        <v>1</v>
      </c>
    </row>
    <row r="461" spans="1:16" x14ac:dyDescent="0.3">
      <c r="A461" s="124">
        <v>17</v>
      </c>
      <c r="B461" s="37" t="s">
        <v>906</v>
      </c>
      <c r="C461" s="38">
        <v>25</v>
      </c>
      <c r="D461" s="125" t="s">
        <v>877</v>
      </c>
      <c r="E461" s="123" t="s">
        <v>931</v>
      </c>
      <c r="F461" s="131"/>
      <c r="G461" s="128" t="s">
        <v>53</v>
      </c>
      <c r="H461" s="154" t="s">
        <v>413</v>
      </c>
      <c r="I461" s="155" t="s">
        <v>412</v>
      </c>
      <c r="J461" s="212"/>
      <c r="K461" s="212"/>
      <c r="L461" s="212"/>
      <c r="M461" s="213"/>
      <c r="N461" s="213"/>
      <c r="O461" s="214"/>
      <c r="P461" s="106" t="b">
        <f t="shared" si="22"/>
        <v>0</v>
      </c>
    </row>
    <row r="462" spans="1:16" x14ac:dyDescent="0.3">
      <c r="A462" s="124">
        <v>17</v>
      </c>
      <c r="B462" s="37" t="s">
        <v>906</v>
      </c>
      <c r="C462" s="38">
        <v>26</v>
      </c>
      <c r="D462" s="125" t="s">
        <v>878</v>
      </c>
      <c r="E462" s="123" t="s">
        <v>932</v>
      </c>
      <c r="F462" s="126" t="s">
        <v>52</v>
      </c>
      <c r="G462" s="131"/>
      <c r="H462" s="122" t="s">
        <v>413</v>
      </c>
      <c r="I462" s="123" t="s">
        <v>412</v>
      </c>
      <c r="J462" s="212" t="s">
        <v>1383</v>
      </c>
      <c r="K462" s="212"/>
      <c r="L462" s="212"/>
      <c r="M462" s="213"/>
      <c r="N462" s="213"/>
      <c r="O462" s="214"/>
      <c r="P462" s="106" t="b">
        <f t="shared" si="22"/>
        <v>1</v>
      </c>
    </row>
    <row r="463" spans="1:16" x14ac:dyDescent="0.3">
      <c r="A463" s="124">
        <v>17</v>
      </c>
      <c r="B463" s="37" t="s">
        <v>906</v>
      </c>
      <c r="C463" s="38">
        <v>27</v>
      </c>
      <c r="D463" s="125" t="s">
        <v>879</v>
      </c>
      <c r="E463" s="123" t="s">
        <v>933</v>
      </c>
      <c r="F463" s="126" t="s">
        <v>52</v>
      </c>
      <c r="G463" s="131"/>
      <c r="H463" s="122" t="s">
        <v>262</v>
      </c>
      <c r="I463" s="123" t="s">
        <v>580</v>
      </c>
      <c r="J463" s="212" t="s">
        <v>1383</v>
      </c>
      <c r="K463" s="212"/>
      <c r="L463" s="212"/>
      <c r="M463" s="213"/>
      <c r="N463" s="213"/>
      <c r="O463" s="214"/>
      <c r="P463" s="106" t="b">
        <f t="shared" si="22"/>
        <v>1</v>
      </c>
    </row>
    <row r="464" spans="1:16" x14ac:dyDescent="0.3">
      <c r="A464" s="124">
        <v>17</v>
      </c>
      <c r="B464" s="37" t="s">
        <v>906</v>
      </c>
      <c r="C464" s="38">
        <v>28</v>
      </c>
      <c r="D464" s="125" t="s">
        <v>880</v>
      </c>
      <c r="E464" s="123" t="s">
        <v>934</v>
      </c>
      <c r="F464" s="126" t="s">
        <v>52</v>
      </c>
      <c r="G464" s="131"/>
      <c r="H464" s="122" t="s">
        <v>413</v>
      </c>
      <c r="I464" s="123" t="s">
        <v>412</v>
      </c>
      <c r="J464" s="212" t="s">
        <v>1383</v>
      </c>
      <c r="K464" s="212" t="s">
        <v>1383</v>
      </c>
      <c r="L464" s="212"/>
      <c r="M464" s="213"/>
      <c r="N464" s="213"/>
      <c r="O464" s="214"/>
      <c r="P464" s="106" t="b">
        <f t="shared" si="22"/>
        <v>1</v>
      </c>
    </row>
    <row r="465" spans="1:16" x14ac:dyDescent="0.3">
      <c r="A465" s="124">
        <v>17</v>
      </c>
      <c r="B465" s="37" t="s">
        <v>906</v>
      </c>
      <c r="C465" s="38">
        <v>29</v>
      </c>
      <c r="D465" s="125" t="s">
        <v>881</v>
      </c>
      <c r="E465" s="123" t="s">
        <v>935</v>
      </c>
      <c r="F465" s="126" t="s">
        <v>52</v>
      </c>
      <c r="G465" s="131"/>
      <c r="H465" s="122" t="s">
        <v>413</v>
      </c>
      <c r="I465" s="123" t="s">
        <v>412</v>
      </c>
      <c r="J465" s="212" t="s">
        <v>1383</v>
      </c>
      <c r="K465" s="212" t="s">
        <v>1383</v>
      </c>
      <c r="L465" s="212"/>
      <c r="M465" s="213"/>
      <c r="N465" s="212" t="s">
        <v>1383</v>
      </c>
      <c r="O465" s="214" t="s">
        <v>1383</v>
      </c>
      <c r="P465" s="106" t="b">
        <f t="shared" si="22"/>
        <v>1</v>
      </c>
    </row>
    <row r="466" spans="1:16" x14ac:dyDescent="0.3">
      <c r="A466" s="124">
        <v>17</v>
      </c>
      <c r="B466" s="37" t="s">
        <v>906</v>
      </c>
      <c r="C466" s="38">
        <v>30</v>
      </c>
      <c r="D466" s="125" t="s">
        <v>882</v>
      </c>
      <c r="E466" s="123" t="s">
        <v>936</v>
      </c>
      <c r="F466" s="131"/>
      <c r="G466" s="128" t="s">
        <v>53</v>
      </c>
      <c r="H466" s="154" t="s">
        <v>413</v>
      </c>
      <c r="I466" s="155" t="s">
        <v>412</v>
      </c>
      <c r="J466" s="212"/>
      <c r="K466" s="212"/>
      <c r="L466" s="212"/>
      <c r="M466" s="213"/>
      <c r="N466" s="213"/>
      <c r="O466" s="214"/>
      <c r="P466" s="106" t="b">
        <f t="shared" si="22"/>
        <v>0</v>
      </c>
    </row>
    <row r="467" spans="1:16" x14ac:dyDescent="0.3">
      <c r="A467" s="124">
        <v>17</v>
      </c>
      <c r="B467" s="37" t="s">
        <v>906</v>
      </c>
      <c r="C467" s="38">
        <v>31</v>
      </c>
      <c r="D467" s="125" t="s">
        <v>883</v>
      </c>
      <c r="E467" s="123" t="s">
        <v>937</v>
      </c>
      <c r="F467" s="126" t="s">
        <v>52</v>
      </c>
      <c r="G467" s="131"/>
      <c r="H467" s="122" t="s">
        <v>262</v>
      </c>
      <c r="I467" s="123" t="s">
        <v>580</v>
      </c>
      <c r="J467" s="212" t="s">
        <v>1383</v>
      </c>
      <c r="K467" s="212"/>
      <c r="L467" s="212"/>
      <c r="M467" s="213"/>
      <c r="N467" s="213"/>
      <c r="O467" s="214"/>
      <c r="P467" s="106" t="b">
        <f t="shared" si="22"/>
        <v>1</v>
      </c>
    </row>
    <row r="468" spans="1:16" x14ac:dyDescent="0.3">
      <c r="A468" s="124">
        <v>17</v>
      </c>
      <c r="B468" s="37" t="s">
        <v>906</v>
      </c>
      <c r="C468" s="38">
        <v>32</v>
      </c>
      <c r="D468" s="125" t="s">
        <v>884</v>
      </c>
      <c r="E468" s="123" t="s">
        <v>938</v>
      </c>
      <c r="F468" s="126" t="s">
        <v>52</v>
      </c>
      <c r="G468" s="131"/>
      <c r="H468" s="122" t="s">
        <v>413</v>
      </c>
      <c r="I468" s="123" t="s">
        <v>412</v>
      </c>
      <c r="J468" s="212" t="s">
        <v>1383</v>
      </c>
      <c r="K468" s="212" t="s">
        <v>1383</v>
      </c>
      <c r="L468" s="212"/>
      <c r="M468" s="213"/>
      <c r="N468" s="213"/>
      <c r="O468" s="214" t="s">
        <v>1383</v>
      </c>
      <c r="P468" s="106" t="b">
        <f t="shared" si="22"/>
        <v>1</v>
      </c>
    </row>
    <row r="469" spans="1:16" x14ac:dyDescent="0.3">
      <c r="A469" s="124">
        <v>17</v>
      </c>
      <c r="B469" s="37" t="s">
        <v>906</v>
      </c>
      <c r="C469" s="38">
        <v>33</v>
      </c>
      <c r="D469" s="125" t="s">
        <v>885</v>
      </c>
      <c r="E469" s="123" t="s">
        <v>939</v>
      </c>
      <c r="F469" s="126" t="s">
        <v>52</v>
      </c>
      <c r="G469" s="131"/>
      <c r="H469" s="122" t="s">
        <v>415</v>
      </c>
      <c r="I469" s="123" t="s">
        <v>414</v>
      </c>
      <c r="J469" s="212" t="s">
        <v>1383</v>
      </c>
      <c r="K469" s="212"/>
      <c r="L469" s="212"/>
      <c r="M469" s="213"/>
      <c r="N469" s="213"/>
      <c r="O469" s="214" t="s">
        <v>1383</v>
      </c>
      <c r="P469" s="106" t="b">
        <f t="shared" si="22"/>
        <v>1</v>
      </c>
    </row>
    <row r="470" spans="1:16" x14ac:dyDescent="0.3">
      <c r="A470" s="124">
        <v>17</v>
      </c>
      <c r="B470" s="37" t="s">
        <v>906</v>
      </c>
      <c r="C470" s="38">
        <v>34</v>
      </c>
      <c r="D470" s="125" t="s">
        <v>194</v>
      </c>
      <c r="E470" s="123" t="s">
        <v>940</v>
      </c>
      <c r="F470" s="126" t="s">
        <v>52</v>
      </c>
      <c r="G470" s="131"/>
      <c r="H470" s="122" t="s">
        <v>413</v>
      </c>
      <c r="I470" s="123" t="s">
        <v>412</v>
      </c>
      <c r="J470" s="212" t="s">
        <v>1383</v>
      </c>
      <c r="K470" s="212"/>
      <c r="L470" s="212" t="s">
        <v>1383</v>
      </c>
      <c r="M470" s="213"/>
      <c r="N470" s="213"/>
      <c r="O470" s="214"/>
      <c r="P470" s="106" t="b">
        <f t="shared" si="22"/>
        <v>1</v>
      </c>
    </row>
    <row r="471" spans="1:16" x14ac:dyDescent="0.3">
      <c r="A471" s="124">
        <v>17</v>
      </c>
      <c r="B471" s="37" t="s">
        <v>906</v>
      </c>
      <c r="C471" s="38">
        <v>35</v>
      </c>
      <c r="D471" s="125" t="s">
        <v>886</v>
      </c>
      <c r="E471" s="123" t="s">
        <v>941</v>
      </c>
      <c r="F471" s="126" t="s">
        <v>52</v>
      </c>
      <c r="G471" s="131"/>
      <c r="H471" s="122" t="s">
        <v>413</v>
      </c>
      <c r="I471" s="123" t="s">
        <v>412</v>
      </c>
      <c r="J471" s="212" t="s">
        <v>1383</v>
      </c>
      <c r="K471" s="212"/>
      <c r="L471" s="212" t="s">
        <v>1383</v>
      </c>
      <c r="M471" s="213"/>
      <c r="N471" s="213"/>
      <c r="O471" s="214"/>
      <c r="P471" s="106" t="b">
        <f t="shared" si="22"/>
        <v>1</v>
      </c>
    </row>
    <row r="472" spans="1:16" x14ac:dyDescent="0.3">
      <c r="A472" s="124">
        <v>17</v>
      </c>
      <c r="B472" s="37" t="s">
        <v>906</v>
      </c>
      <c r="C472" s="38">
        <v>36</v>
      </c>
      <c r="D472" s="125" t="s">
        <v>887</v>
      </c>
      <c r="E472" s="123" t="s">
        <v>942</v>
      </c>
      <c r="F472" s="126" t="s">
        <v>52</v>
      </c>
      <c r="G472" s="131"/>
      <c r="H472" s="122" t="s">
        <v>1342</v>
      </c>
      <c r="I472" s="123" t="s">
        <v>577</v>
      </c>
      <c r="J472" s="212" t="s">
        <v>1383</v>
      </c>
      <c r="K472" s="212" t="s">
        <v>1383</v>
      </c>
      <c r="L472" s="212"/>
      <c r="M472" s="213"/>
      <c r="N472" s="213"/>
      <c r="O472" s="214"/>
      <c r="P472" s="106" t="b">
        <f t="shared" si="22"/>
        <v>1</v>
      </c>
    </row>
    <row r="473" spans="1:16" x14ac:dyDescent="0.3">
      <c r="A473" s="124">
        <v>17</v>
      </c>
      <c r="B473" s="37" t="s">
        <v>906</v>
      </c>
      <c r="C473" s="38">
        <v>37</v>
      </c>
      <c r="D473" s="125" t="s">
        <v>888</v>
      </c>
      <c r="E473" s="123" t="s">
        <v>943</v>
      </c>
      <c r="F473" s="126" t="s">
        <v>52</v>
      </c>
      <c r="G473" s="131"/>
      <c r="H473" s="122" t="s">
        <v>413</v>
      </c>
      <c r="I473" s="123" t="s">
        <v>412</v>
      </c>
      <c r="J473" s="212" t="s">
        <v>1383</v>
      </c>
      <c r="K473" s="212" t="s">
        <v>1383</v>
      </c>
      <c r="L473" s="212" t="s">
        <v>1383</v>
      </c>
      <c r="M473" s="213"/>
      <c r="N473" s="213"/>
      <c r="O473" s="214"/>
      <c r="P473" s="106" t="b">
        <f t="shared" si="22"/>
        <v>1</v>
      </c>
    </row>
    <row r="474" spans="1:16" x14ac:dyDescent="0.3">
      <c r="A474" s="124">
        <v>17</v>
      </c>
      <c r="B474" s="37" t="s">
        <v>906</v>
      </c>
      <c r="C474" s="38">
        <v>38</v>
      </c>
      <c r="D474" s="125" t="s">
        <v>889</v>
      </c>
      <c r="E474" s="123" t="s">
        <v>944</v>
      </c>
      <c r="F474" s="126" t="s">
        <v>52</v>
      </c>
      <c r="G474" s="131"/>
      <c r="H474" s="122" t="s">
        <v>415</v>
      </c>
      <c r="I474" s="123" t="s">
        <v>414</v>
      </c>
      <c r="J474" s="212"/>
      <c r="K474" s="212"/>
      <c r="L474" s="212"/>
      <c r="M474" s="213"/>
      <c r="N474" s="212" t="s">
        <v>1383</v>
      </c>
      <c r="O474" s="214" t="s">
        <v>1383</v>
      </c>
      <c r="P474" s="106" t="b">
        <f t="shared" si="22"/>
        <v>1</v>
      </c>
    </row>
    <row r="475" spans="1:16" x14ac:dyDescent="0.3">
      <c r="A475" s="124">
        <v>17</v>
      </c>
      <c r="B475" s="37" t="s">
        <v>906</v>
      </c>
      <c r="C475" s="38">
        <v>39</v>
      </c>
      <c r="D475" s="125" t="s">
        <v>890</v>
      </c>
      <c r="E475" s="123" t="s">
        <v>945</v>
      </c>
      <c r="F475" s="126" t="s">
        <v>52</v>
      </c>
      <c r="G475" s="131"/>
      <c r="H475" s="122" t="s">
        <v>413</v>
      </c>
      <c r="I475" s="123" t="s">
        <v>412</v>
      </c>
      <c r="J475" s="212" t="s">
        <v>1383</v>
      </c>
      <c r="K475" s="212"/>
      <c r="L475" s="212"/>
      <c r="M475" s="213"/>
      <c r="N475" s="213"/>
      <c r="O475" s="214"/>
      <c r="P475" s="106" t="b">
        <f>IF(COUNTA(J475:O475)=0,FALSE,TRUE)</f>
        <v>1</v>
      </c>
    </row>
    <row r="476" spans="1:16" x14ac:dyDescent="0.3">
      <c r="A476" s="124">
        <v>17</v>
      </c>
      <c r="B476" s="37" t="s">
        <v>906</v>
      </c>
      <c r="C476" s="38">
        <v>40</v>
      </c>
      <c r="D476" s="125" t="s">
        <v>891</v>
      </c>
      <c r="E476" s="123" t="s">
        <v>946</v>
      </c>
      <c r="F476" s="126" t="s">
        <v>52</v>
      </c>
      <c r="G476" s="131"/>
      <c r="H476" s="122" t="s">
        <v>415</v>
      </c>
      <c r="I476" s="123" t="s">
        <v>414</v>
      </c>
      <c r="J476" s="212" t="s">
        <v>1383</v>
      </c>
      <c r="K476" s="212" t="s">
        <v>1383</v>
      </c>
      <c r="L476" s="212"/>
      <c r="M476" s="213"/>
      <c r="N476" s="212" t="s">
        <v>1383</v>
      </c>
      <c r="O476" s="214" t="s">
        <v>1383</v>
      </c>
      <c r="P476" s="106" t="b">
        <f t="shared" si="22"/>
        <v>1</v>
      </c>
    </row>
    <row r="477" spans="1:16" x14ac:dyDescent="0.3">
      <c r="A477" s="124">
        <v>17</v>
      </c>
      <c r="B477" s="37" t="s">
        <v>906</v>
      </c>
      <c r="C477" s="38">
        <v>41</v>
      </c>
      <c r="D477" s="125" t="s">
        <v>892</v>
      </c>
      <c r="E477" s="123" t="s">
        <v>947</v>
      </c>
      <c r="F477" s="126" t="s">
        <v>52</v>
      </c>
      <c r="G477" s="131"/>
      <c r="H477" s="122" t="s">
        <v>415</v>
      </c>
      <c r="I477" s="123" t="s">
        <v>414</v>
      </c>
      <c r="J477" s="212" t="s">
        <v>1383</v>
      </c>
      <c r="K477" s="212"/>
      <c r="L477" s="212"/>
      <c r="M477" s="213"/>
      <c r="N477" s="213"/>
      <c r="O477" s="214"/>
      <c r="P477" s="106" t="b">
        <f t="shared" si="22"/>
        <v>1</v>
      </c>
    </row>
    <row r="478" spans="1:16" x14ac:dyDescent="0.3">
      <c r="A478" s="124">
        <v>17</v>
      </c>
      <c r="B478" s="37" t="s">
        <v>906</v>
      </c>
      <c r="C478" s="38">
        <v>42</v>
      </c>
      <c r="D478" s="125" t="s">
        <v>893</v>
      </c>
      <c r="E478" s="123" t="s">
        <v>948</v>
      </c>
      <c r="F478" s="126" t="s">
        <v>52</v>
      </c>
      <c r="G478" s="131"/>
      <c r="H478" s="122" t="s">
        <v>415</v>
      </c>
      <c r="I478" s="123" t="s">
        <v>414</v>
      </c>
      <c r="J478" s="212" t="s">
        <v>1383</v>
      </c>
      <c r="K478" s="212"/>
      <c r="L478" s="212"/>
      <c r="M478" s="213"/>
      <c r="N478" s="213"/>
      <c r="O478" s="214" t="s">
        <v>1383</v>
      </c>
      <c r="P478" s="106" t="b">
        <f t="shared" si="22"/>
        <v>1</v>
      </c>
    </row>
    <row r="479" spans="1:16" x14ac:dyDescent="0.3">
      <c r="A479" s="124">
        <v>17</v>
      </c>
      <c r="B479" s="37" t="s">
        <v>906</v>
      </c>
      <c r="C479" s="38">
        <v>43</v>
      </c>
      <c r="D479" s="125" t="s">
        <v>894</v>
      </c>
      <c r="E479" s="123" t="s">
        <v>949</v>
      </c>
      <c r="F479" s="126" t="s">
        <v>52</v>
      </c>
      <c r="G479" s="131"/>
      <c r="H479" s="122" t="s">
        <v>413</v>
      </c>
      <c r="I479" s="123" t="s">
        <v>412</v>
      </c>
      <c r="J479" s="212" t="s">
        <v>1383</v>
      </c>
      <c r="K479" s="212"/>
      <c r="L479" s="212"/>
      <c r="M479" s="213"/>
      <c r="N479" s="213"/>
      <c r="O479" s="214"/>
      <c r="P479" s="106" t="b">
        <f t="shared" ref="P479:P542" si="24">IF(COUNTA(J479:O479)=0,FALSE,TRUE)</f>
        <v>1</v>
      </c>
    </row>
    <row r="480" spans="1:16" x14ac:dyDescent="0.3">
      <c r="A480" s="124">
        <v>17</v>
      </c>
      <c r="B480" s="37" t="s">
        <v>906</v>
      </c>
      <c r="C480" s="38">
        <v>44</v>
      </c>
      <c r="D480" s="125" t="s">
        <v>895</v>
      </c>
      <c r="E480" s="123" t="s">
        <v>950</v>
      </c>
      <c r="F480" s="126" t="s">
        <v>52</v>
      </c>
      <c r="G480" s="131"/>
      <c r="H480" s="122" t="s">
        <v>415</v>
      </c>
      <c r="I480" s="123" t="s">
        <v>414</v>
      </c>
      <c r="J480" s="212" t="s">
        <v>1383</v>
      </c>
      <c r="K480" s="212"/>
      <c r="L480" s="212" t="s">
        <v>1383</v>
      </c>
      <c r="M480" s="213"/>
      <c r="N480" s="213"/>
      <c r="O480" s="214"/>
      <c r="P480" s="106" t="b">
        <f t="shared" si="24"/>
        <v>1</v>
      </c>
    </row>
    <row r="481" spans="1:16" x14ac:dyDescent="0.3">
      <c r="A481" s="124">
        <v>17</v>
      </c>
      <c r="B481" s="37" t="s">
        <v>906</v>
      </c>
      <c r="C481" s="38">
        <v>45</v>
      </c>
      <c r="D481" s="125" t="s">
        <v>896</v>
      </c>
      <c r="E481" s="123" t="s">
        <v>951</v>
      </c>
      <c r="F481" s="126" t="s">
        <v>52</v>
      </c>
      <c r="G481" s="131"/>
      <c r="H481" s="122" t="s">
        <v>413</v>
      </c>
      <c r="I481" s="123" t="s">
        <v>412</v>
      </c>
      <c r="J481" s="212" t="s">
        <v>1383</v>
      </c>
      <c r="K481" s="212"/>
      <c r="L481" s="212"/>
      <c r="M481" s="213"/>
      <c r="N481" s="213"/>
      <c r="O481" s="214"/>
      <c r="P481" s="106" t="b">
        <f t="shared" si="24"/>
        <v>1</v>
      </c>
    </row>
    <row r="482" spans="1:16" x14ac:dyDescent="0.3">
      <c r="A482" s="124">
        <v>17</v>
      </c>
      <c r="B482" s="37" t="s">
        <v>906</v>
      </c>
      <c r="C482" s="38">
        <v>46</v>
      </c>
      <c r="D482" s="125" t="s">
        <v>897</v>
      </c>
      <c r="E482" s="123" t="s">
        <v>952</v>
      </c>
      <c r="F482" s="126" t="s">
        <v>52</v>
      </c>
      <c r="G482" s="131"/>
      <c r="H482" s="122" t="s">
        <v>415</v>
      </c>
      <c r="I482" s="123" t="s">
        <v>414</v>
      </c>
      <c r="J482" s="212" t="s">
        <v>1383</v>
      </c>
      <c r="K482" s="212"/>
      <c r="L482" s="212"/>
      <c r="M482" s="213"/>
      <c r="N482" s="213"/>
      <c r="O482" s="214"/>
      <c r="P482" s="106" t="b">
        <f t="shared" si="24"/>
        <v>1</v>
      </c>
    </row>
    <row r="483" spans="1:16" x14ac:dyDescent="0.3">
      <c r="A483" s="124">
        <v>17</v>
      </c>
      <c r="B483" s="37" t="s">
        <v>906</v>
      </c>
      <c r="C483" s="38">
        <v>47</v>
      </c>
      <c r="D483" s="125" t="s">
        <v>898</v>
      </c>
      <c r="E483" s="123" t="s">
        <v>953</v>
      </c>
      <c r="F483" s="126" t="s">
        <v>52</v>
      </c>
      <c r="G483" s="131"/>
      <c r="H483" s="122" t="s">
        <v>415</v>
      </c>
      <c r="I483" s="123" t="s">
        <v>414</v>
      </c>
      <c r="J483" s="212" t="s">
        <v>1383</v>
      </c>
      <c r="K483" s="212"/>
      <c r="L483" s="212"/>
      <c r="M483" s="213"/>
      <c r="N483" s="212" t="s">
        <v>1383</v>
      </c>
      <c r="O483" s="214" t="s">
        <v>1383</v>
      </c>
      <c r="P483" s="106" t="b">
        <f t="shared" si="24"/>
        <v>1</v>
      </c>
    </row>
    <row r="484" spans="1:16" x14ac:dyDescent="0.3">
      <c r="A484" s="124">
        <v>17</v>
      </c>
      <c r="B484" s="37" t="s">
        <v>906</v>
      </c>
      <c r="C484" s="38">
        <v>48</v>
      </c>
      <c r="D484" s="125" t="s">
        <v>899</v>
      </c>
      <c r="E484" s="123" t="s">
        <v>954</v>
      </c>
      <c r="F484" s="126" t="s">
        <v>52</v>
      </c>
      <c r="G484" s="131"/>
      <c r="H484" s="122" t="s">
        <v>1342</v>
      </c>
      <c r="I484" s="123" t="s">
        <v>577</v>
      </c>
      <c r="J484" s="212" t="s">
        <v>1383</v>
      </c>
      <c r="K484" s="212"/>
      <c r="L484" s="212"/>
      <c r="M484" s="213"/>
      <c r="N484" s="213"/>
      <c r="O484" s="214" t="s">
        <v>1383</v>
      </c>
      <c r="P484" s="106" t="b">
        <f t="shared" si="24"/>
        <v>1</v>
      </c>
    </row>
    <row r="485" spans="1:16" x14ac:dyDescent="0.3">
      <c r="A485" s="124">
        <v>17</v>
      </c>
      <c r="B485" s="37" t="s">
        <v>906</v>
      </c>
      <c r="C485" s="38">
        <v>49</v>
      </c>
      <c r="D485" s="125" t="s">
        <v>900</v>
      </c>
      <c r="E485" s="123" t="s">
        <v>955</v>
      </c>
      <c r="F485" s="126" t="s">
        <v>52</v>
      </c>
      <c r="G485" s="131"/>
      <c r="H485" s="122" t="s">
        <v>1342</v>
      </c>
      <c r="I485" s="123" t="s">
        <v>577</v>
      </c>
      <c r="J485" s="212" t="s">
        <v>1383</v>
      </c>
      <c r="K485" s="212"/>
      <c r="L485" s="212"/>
      <c r="M485" s="213"/>
      <c r="N485" s="213"/>
      <c r="O485" s="214"/>
      <c r="P485" s="106" t="b">
        <f t="shared" si="24"/>
        <v>1</v>
      </c>
    </row>
    <row r="486" spans="1:16" x14ac:dyDescent="0.3">
      <c r="A486" s="124">
        <v>17</v>
      </c>
      <c r="B486" s="37" t="s">
        <v>906</v>
      </c>
      <c r="C486" s="38">
        <v>50</v>
      </c>
      <c r="D486" s="125" t="s">
        <v>901</v>
      </c>
      <c r="E486" s="123" t="s">
        <v>956</v>
      </c>
      <c r="F486" s="131"/>
      <c r="G486" s="128" t="s">
        <v>53</v>
      </c>
      <c r="H486" s="154" t="s">
        <v>413</v>
      </c>
      <c r="I486" s="155" t="s">
        <v>412</v>
      </c>
      <c r="J486" s="212"/>
      <c r="K486" s="212"/>
      <c r="L486" s="212"/>
      <c r="M486" s="213"/>
      <c r="N486" s="213"/>
      <c r="O486" s="214"/>
      <c r="P486" s="106" t="b">
        <f t="shared" si="24"/>
        <v>0</v>
      </c>
    </row>
    <row r="487" spans="1:16" x14ac:dyDescent="0.3">
      <c r="A487" s="124">
        <v>17</v>
      </c>
      <c r="B487" s="37" t="s">
        <v>906</v>
      </c>
      <c r="C487" s="38">
        <v>51</v>
      </c>
      <c r="D487" s="125" t="s">
        <v>902</v>
      </c>
      <c r="E487" s="123" t="s">
        <v>957</v>
      </c>
      <c r="F487" s="126" t="s">
        <v>52</v>
      </c>
      <c r="G487" s="131"/>
      <c r="H487" s="122" t="s">
        <v>262</v>
      </c>
      <c r="I487" s="123" t="s">
        <v>580</v>
      </c>
      <c r="J487" s="212" t="s">
        <v>1383</v>
      </c>
      <c r="K487" s="212"/>
      <c r="L487" s="212"/>
      <c r="M487" s="213"/>
      <c r="N487" s="213"/>
      <c r="O487" s="214"/>
      <c r="P487" s="106" t="b">
        <f t="shared" si="24"/>
        <v>1</v>
      </c>
    </row>
    <row r="488" spans="1:16" x14ac:dyDescent="0.3">
      <c r="A488" s="124">
        <v>17</v>
      </c>
      <c r="B488" s="37" t="s">
        <v>906</v>
      </c>
      <c r="C488" s="38">
        <v>52</v>
      </c>
      <c r="D488" s="125" t="s">
        <v>903</v>
      </c>
      <c r="E488" s="123" t="s">
        <v>958</v>
      </c>
      <c r="F488" s="126" t="s">
        <v>52</v>
      </c>
      <c r="G488" s="131"/>
      <c r="H488" s="122" t="s">
        <v>262</v>
      </c>
      <c r="I488" s="123" t="s">
        <v>580</v>
      </c>
      <c r="J488" s="212" t="s">
        <v>1383</v>
      </c>
      <c r="K488" s="212"/>
      <c r="L488" s="212"/>
      <c r="M488" s="213"/>
      <c r="N488" s="213"/>
      <c r="O488" s="214"/>
      <c r="P488" s="106" t="b">
        <f t="shared" si="24"/>
        <v>1</v>
      </c>
    </row>
    <row r="489" spans="1:16" x14ac:dyDescent="0.3">
      <c r="A489" s="124">
        <v>17</v>
      </c>
      <c r="B489" s="37" t="s">
        <v>906</v>
      </c>
      <c r="C489" s="38">
        <v>53</v>
      </c>
      <c r="D489" s="125" t="s">
        <v>904</v>
      </c>
      <c r="E489" s="123" t="s">
        <v>959</v>
      </c>
      <c r="F489" s="126" t="s">
        <v>52</v>
      </c>
      <c r="G489" s="131"/>
      <c r="H489" s="122" t="s">
        <v>413</v>
      </c>
      <c r="I489" s="123" t="s">
        <v>412</v>
      </c>
      <c r="J489" s="212" t="s">
        <v>1383</v>
      </c>
      <c r="K489" s="212"/>
      <c r="L489" s="212"/>
      <c r="M489" s="213"/>
      <c r="N489" s="213"/>
      <c r="O489" s="214"/>
      <c r="P489" s="106" t="b">
        <f t="shared" si="24"/>
        <v>1</v>
      </c>
    </row>
    <row r="490" spans="1:16" ht="19.5" thickBot="1" x14ac:dyDescent="0.35">
      <c r="A490" s="132">
        <v>17</v>
      </c>
      <c r="B490" s="39" t="s">
        <v>906</v>
      </c>
      <c r="C490" s="45">
        <v>54</v>
      </c>
      <c r="D490" s="156" t="s">
        <v>905</v>
      </c>
      <c r="E490" s="159" t="s">
        <v>960</v>
      </c>
      <c r="F490" s="157" t="s">
        <v>52</v>
      </c>
      <c r="G490" s="174"/>
      <c r="H490" s="158" t="s">
        <v>415</v>
      </c>
      <c r="I490" s="159" t="s">
        <v>414</v>
      </c>
      <c r="J490" s="221" t="s">
        <v>1383</v>
      </c>
      <c r="K490" s="221"/>
      <c r="L490" s="221"/>
      <c r="M490" s="222"/>
      <c r="N490" s="222"/>
      <c r="O490" s="223"/>
      <c r="P490" s="106" t="b">
        <f t="shared" si="24"/>
        <v>1</v>
      </c>
    </row>
    <row r="491" spans="1:16" ht="19.5" hidden="1" thickBot="1" x14ac:dyDescent="0.3">
      <c r="A491" s="188">
        <v>17</v>
      </c>
      <c r="B491" s="189" t="s">
        <v>906</v>
      </c>
      <c r="C491" s="190">
        <f>COUNTA(C437:C490)</f>
        <v>54</v>
      </c>
      <c r="D491" s="191" t="s">
        <v>1</v>
      </c>
      <c r="E491" s="191" t="s">
        <v>1374</v>
      </c>
      <c r="F491" s="190">
        <f>COUNTA(F437:F490)</f>
        <v>51</v>
      </c>
      <c r="G491" s="190">
        <f>COUNTA(G437:G490)</f>
        <v>3</v>
      </c>
      <c r="H491" s="298" t="s">
        <v>3</v>
      </c>
      <c r="I491" s="299"/>
      <c r="J491" s="115">
        <f t="shared" ref="J491:O491" si="25">COUNTA(J437:J490)</f>
        <v>49</v>
      </c>
      <c r="K491" s="115">
        <f t="shared" si="25"/>
        <v>10</v>
      </c>
      <c r="L491" s="115">
        <f t="shared" si="25"/>
        <v>5</v>
      </c>
      <c r="M491" s="115">
        <f t="shared" si="25"/>
        <v>0</v>
      </c>
      <c r="N491" s="115">
        <f t="shared" si="25"/>
        <v>9</v>
      </c>
      <c r="O491" s="116">
        <f t="shared" si="25"/>
        <v>15</v>
      </c>
      <c r="P491" s="108">
        <f>COUNTIF(P437:P490,TRUE)</f>
        <v>50</v>
      </c>
    </row>
    <row r="492" spans="1:16" x14ac:dyDescent="0.3">
      <c r="A492" s="119">
        <v>18</v>
      </c>
      <c r="B492" s="41" t="s">
        <v>974</v>
      </c>
      <c r="C492" s="44">
        <v>1</v>
      </c>
      <c r="D492" s="150" t="s">
        <v>962</v>
      </c>
      <c r="E492" s="153" t="s">
        <v>975</v>
      </c>
      <c r="F492" s="151" t="s">
        <v>52</v>
      </c>
      <c r="G492" s="168"/>
      <c r="H492" s="152" t="s">
        <v>350</v>
      </c>
      <c r="I492" s="153" t="s">
        <v>993</v>
      </c>
      <c r="J492" s="218" t="s">
        <v>1383</v>
      </c>
      <c r="K492" s="218"/>
      <c r="L492" s="218"/>
      <c r="M492" s="219"/>
      <c r="N492" s="219"/>
      <c r="O492" s="220"/>
      <c r="P492" s="106" t="b">
        <f t="shared" si="24"/>
        <v>1</v>
      </c>
    </row>
    <row r="493" spans="1:16" x14ac:dyDescent="0.3">
      <c r="A493" s="124">
        <v>18</v>
      </c>
      <c r="B493" s="37" t="s">
        <v>974</v>
      </c>
      <c r="C493" s="38">
        <v>2</v>
      </c>
      <c r="D493" s="125" t="s">
        <v>963</v>
      </c>
      <c r="E493" s="123" t="s">
        <v>977</v>
      </c>
      <c r="F493" s="126" t="s">
        <v>52</v>
      </c>
      <c r="G493" s="131"/>
      <c r="H493" s="122" t="s">
        <v>349</v>
      </c>
      <c r="I493" s="123" t="s">
        <v>992</v>
      </c>
      <c r="J493" s="212" t="s">
        <v>1383</v>
      </c>
      <c r="K493" s="212"/>
      <c r="L493" s="212"/>
      <c r="M493" s="213"/>
      <c r="N493" s="212" t="s">
        <v>1383</v>
      </c>
      <c r="O493" s="214"/>
      <c r="P493" s="106" t="b">
        <f t="shared" si="24"/>
        <v>1</v>
      </c>
    </row>
    <row r="494" spans="1:16" x14ac:dyDescent="0.3">
      <c r="A494" s="124">
        <v>18</v>
      </c>
      <c r="B494" s="37" t="s">
        <v>974</v>
      </c>
      <c r="C494" s="38">
        <v>3</v>
      </c>
      <c r="D494" s="125" t="s">
        <v>964</v>
      </c>
      <c r="E494" s="123" t="s">
        <v>976</v>
      </c>
      <c r="F494" s="131"/>
      <c r="G494" s="128" t="s">
        <v>53</v>
      </c>
      <c r="H494" s="154" t="s">
        <v>991</v>
      </c>
      <c r="I494" s="155" t="s">
        <v>990</v>
      </c>
      <c r="J494" s="212"/>
      <c r="K494" s="212"/>
      <c r="L494" s="212"/>
      <c r="M494" s="213"/>
      <c r="N494" s="213"/>
      <c r="O494" s="214"/>
      <c r="P494" s="106" t="b">
        <f t="shared" si="24"/>
        <v>0</v>
      </c>
    </row>
    <row r="495" spans="1:16" x14ac:dyDescent="0.3">
      <c r="A495" s="124">
        <v>18</v>
      </c>
      <c r="B495" s="37" t="s">
        <v>974</v>
      </c>
      <c r="C495" s="38">
        <v>4</v>
      </c>
      <c r="D495" s="125" t="s">
        <v>965</v>
      </c>
      <c r="E495" s="123" t="s">
        <v>978</v>
      </c>
      <c r="F495" s="126" t="s">
        <v>52</v>
      </c>
      <c r="G495" s="131"/>
      <c r="H495" s="122" t="s">
        <v>350</v>
      </c>
      <c r="I495" s="123" t="s">
        <v>993</v>
      </c>
      <c r="J495" s="212" t="s">
        <v>1383</v>
      </c>
      <c r="K495" s="212"/>
      <c r="L495" s="212"/>
      <c r="M495" s="213"/>
      <c r="N495" s="213"/>
      <c r="O495" s="214"/>
      <c r="P495" s="106" t="b">
        <f t="shared" si="24"/>
        <v>1</v>
      </c>
    </row>
    <row r="496" spans="1:16" x14ac:dyDescent="0.3">
      <c r="A496" s="124">
        <v>18</v>
      </c>
      <c r="B496" s="37" t="s">
        <v>974</v>
      </c>
      <c r="C496" s="38">
        <v>5</v>
      </c>
      <c r="D496" s="125" t="s">
        <v>966</v>
      </c>
      <c r="E496" s="123" t="s">
        <v>979</v>
      </c>
      <c r="F496" s="126" t="s">
        <v>52</v>
      </c>
      <c r="G496" s="131"/>
      <c r="H496" s="122" t="s">
        <v>350</v>
      </c>
      <c r="I496" s="123" t="s">
        <v>993</v>
      </c>
      <c r="J496" s="212" t="s">
        <v>1383</v>
      </c>
      <c r="K496" s="212" t="s">
        <v>1383</v>
      </c>
      <c r="L496" s="212"/>
      <c r="M496" s="213"/>
      <c r="N496" s="213"/>
      <c r="O496" s="214"/>
      <c r="P496" s="106" t="b">
        <f t="shared" si="24"/>
        <v>1</v>
      </c>
    </row>
    <row r="497" spans="1:16" x14ac:dyDescent="0.3">
      <c r="A497" s="124">
        <v>18</v>
      </c>
      <c r="B497" s="37" t="s">
        <v>974</v>
      </c>
      <c r="C497" s="38">
        <v>6</v>
      </c>
      <c r="D497" s="125" t="s">
        <v>967</v>
      </c>
      <c r="E497" s="123" t="s">
        <v>980</v>
      </c>
      <c r="F497" s="131"/>
      <c r="G497" s="128" t="s">
        <v>53</v>
      </c>
      <c r="H497" s="154" t="s">
        <v>995</v>
      </c>
      <c r="I497" s="155" t="s">
        <v>994</v>
      </c>
      <c r="J497" s="212"/>
      <c r="K497" s="212"/>
      <c r="L497" s="212"/>
      <c r="M497" s="213"/>
      <c r="N497" s="213"/>
      <c r="O497" s="214"/>
      <c r="P497" s="106" t="b">
        <f t="shared" si="24"/>
        <v>0</v>
      </c>
    </row>
    <row r="498" spans="1:16" x14ac:dyDescent="0.3">
      <c r="A498" s="124">
        <v>18</v>
      </c>
      <c r="B498" s="37" t="s">
        <v>974</v>
      </c>
      <c r="C498" s="38">
        <v>7</v>
      </c>
      <c r="D498" s="125" t="s">
        <v>968</v>
      </c>
      <c r="E498" s="123" t="s">
        <v>981</v>
      </c>
      <c r="F498" s="131"/>
      <c r="G498" s="128" t="s">
        <v>53</v>
      </c>
      <c r="H498" s="154" t="s">
        <v>348</v>
      </c>
      <c r="I498" s="155" t="s">
        <v>996</v>
      </c>
      <c r="J498" s="212"/>
      <c r="K498" s="212"/>
      <c r="L498" s="212"/>
      <c r="M498" s="213"/>
      <c r="N498" s="213"/>
      <c r="O498" s="214"/>
      <c r="P498" s="106" t="b">
        <f t="shared" si="24"/>
        <v>0</v>
      </c>
    </row>
    <row r="499" spans="1:16" x14ac:dyDescent="0.3">
      <c r="A499" s="124">
        <v>18</v>
      </c>
      <c r="B499" s="37" t="s">
        <v>974</v>
      </c>
      <c r="C499" s="38">
        <v>8</v>
      </c>
      <c r="D499" s="125" t="s">
        <v>77</v>
      </c>
      <c r="E499" s="123" t="s">
        <v>982</v>
      </c>
      <c r="F499" s="126" t="s">
        <v>52</v>
      </c>
      <c r="G499" s="131"/>
      <c r="H499" s="122" t="s">
        <v>350</v>
      </c>
      <c r="I499" s="123" t="s">
        <v>993</v>
      </c>
      <c r="J499" s="212" t="s">
        <v>1383</v>
      </c>
      <c r="K499" s="212"/>
      <c r="L499" s="212"/>
      <c r="M499" s="213"/>
      <c r="N499" s="213"/>
      <c r="O499" s="214"/>
      <c r="P499" s="106" t="b">
        <f t="shared" si="24"/>
        <v>1</v>
      </c>
    </row>
    <row r="500" spans="1:16" x14ac:dyDescent="0.3">
      <c r="A500" s="124">
        <v>18</v>
      </c>
      <c r="B500" s="37" t="s">
        <v>974</v>
      </c>
      <c r="C500" s="38">
        <v>9</v>
      </c>
      <c r="D500" s="125" t="s">
        <v>969</v>
      </c>
      <c r="E500" s="123" t="s">
        <v>983</v>
      </c>
      <c r="F500" s="126" t="s">
        <v>52</v>
      </c>
      <c r="G500" s="131"/>
      <c r="H500" s="122" t="s">
        <v>350</v>
      </c>
      <c r="I500" s="123" t="s">
        <v>993</v>
      </c>
      <c r="J500" s="212" t="s">
        <v>1383</v>
      </c>
      <c r="K500" s="212"/>
      <c r="L500" s="212"/>
      <c r="M500" s="213"/>
      <c r="N500" s="213"/>
      <c r="O500" s="214"/>
      <c r="P500" s="106" t="b">
        <f t="shared" si="24"/>
        <v>1</v>
      </c>
    </row>
    <row r="501" spans="1:16" x14ac:dyDescent="0.3">
      <c r="A501" s="124">
        <v>18</v>
      </c>
      <c r="B501" s="37" t="s">
        <v>974</v>
      </c>
      <c r="C501" s="38">
        <v>10</v>
      </c>
      <c r="D501" s="125" t="s">
        <v>43</v>
      </c>
      <c r="E501" s="123" t="s">
        <v>984</v>
      </c>
      <c r="F501" s="126" t="s">
        <v>52</v>
      </c>
      <c r="G501" s="131"/>
      <c r="H501" s="122" t="s">
        <v>350</v>
      </c>
      <c r="I501" s="123" t="s">
        <v>993</v>
      </c>
      <c r="J501" s="212" t="s">
        <v>1383</v>
      </c>
      <c r="K501" s="212"/>
      <c r="L501" s="212"/>
      <c r="M501" s="213"/>
      <c r="N501" s="212" t="s">
        <v>1383</v>
      </c>
      <c r="O501" s="214" t="s">
        <v>1383</v>
      </c>
      <c r="P501" s="106" t="b">
        <f t="shared" si="24"/>
        <v>1</v>
      </c>
    </row>
    <row r="502" spans="1:16" x14ac:dyDescent="0.3">
      <c r="A502" s="124">
        <v>18</v>
      </c>
      <c r="B502" s="37" t="s">
        <v>974</v>
      </c>
      <c r="C502" s="38">
        <v>11</v>
      </c>
      <c r="D502" s="125" t="s">
        <v>970</v>
      </c>
      <c r="E502" s="123" t="s">
        <v>985</v>
      </c>
      <c r="F502" s="131"/>
      <c r="G502" s="128" t="s">
        <v>53</v>
      </c>
      <c r="H502" s="122" t="s">
        <v>348</v>
      </c>
      <c r="I502" s="123" t="s">
        <v>996</v>
      </c>
      <c r="J502" s="212"/>
      <c r="K502" s="212"/>
      <c r="L502" s="212"/>
      <c r="M502" s="213"/>
      <c r="N502" s="213"/>
      <c r="O502" s="214"/>
      <c r="P502" s="106" t="b">
        <f t="shared" si="24"/>
        <v>0</v>
      </c>
    </row>
    <row r="503" spans="1:16" x14ac:dyDescent="0.3">
      <c r="A503" s="124">
        <v>18</v>
      </c>
      <c r="B503" s="37" t="s">
        <v>974</v>
      </c>
      <c r="C503" s="38">
        <v>12</v>
      </c>
      <c r="D503" s="166" t="s">
        <v>84</v>
      </c>
      <c r="E503" s="123" t="s">
        <v>986</v>
      </c>
      <c r="F503" s="126" t="s">
        <v>52</v>
      </c>
      <c r="G503" s="131"/>
      <c r="H503" s="122" t="s">
        <v>350</v>
      </c>
      <c r="I503" s="123" t="s">
        <v>993</v>
      </c>
      <c r="J503" s="212"/>
      <c r="K503" s="212"/>
      <c r="L503" s="212"/>
      <c r="M503" s="213"/>
      <c r="N503" s="213"/>
      <c r="O503" s="214"/>
      <c r="P503" s="106" t="b">
        <f t="shared" si="24"/>
        <v>0</v>
      </c>
    </row>
    <row r="504" spans="1:16" x14ac:dyDescent="0.3">
      <c r="A504" s="124">
        <v>18</v>
      </c>
      <c r="B504" s="37" t="s">
        <v>974</v>
      </c>
      <c r="C504" s="38">
        <v>13</v>
      </c>
      <c r="D504" s="125" t="s">
        <v>971</v>
      </c>
      <c r="E504" s="123" t="s">
        <v>987</v>
      </c>
      <c r="F504" s="126" t="s">
        <v>52</v>
      </c>
      <c r="G504" s="131"/>
      <c r="H504" s="122" t="s">
        <v>346</v>
      </c>
      <c r="I504" s="123" t="s">
        <v>997</v>
      </c>
      <c r="J504" s="212"/>
      <c r="K504" s="212"/>
      <c r="L504" s="212"/>
      <c r="M504" s="213"/>
      <c r="N504" s="213"/>
      <c r="O504" s="214"/>
      <c r="P504" s="106" t="b">
        <f t="shared" si="24"/>
        <v>0</v>
      </c>
    </row>
    <row r="505" spans="1:16" x14ac:dyDescent="0.3">
      <c r="A505" s="124">
        <v>18</v>
      </c>
      <c r="B505" s="37" t="s">
        <v>974</v>
      </c>
      <c r="C505" s="38">
        <v>14</v>
      </c>
      <c r="D505" s="125" t="s">
        <v>972</v>
      </c>
      <c r="E505" s="123" t="s">
        <v>988</v>
      </c>
      <c r="F505" s="126" t="s">
        <v>52</v>
      </c>
      <c r="G505" s="131"/>
      <c r="H505" s="122" t="s">
        <v>343</v>
      </c>
      <c r="I505" s="123" t="s">
        <v>342</v>
      </c>
      <c r="J505" s="212" t="s">
        <v>1383</v>
      </c>
      <c r="K505" s="212"/>
      <c r="L505" s="212"/>
      <c r="M505" s="213"/>
      <c r="N505" s="213"/>
      <c r="O505" s="214"/>
      <c r="P505" s="106" t="b">
        <f t="shared" si="24"/>
        <v>1</v>
      </c>
    </row>
    <row r="506" spans="1:16" ht="19.5" thickBot="1" x14ac:dyDescent="0.35">
      <c r="A506" s="132">
        <v>18</v>
      </c>
      <c r="B506" s="39" t="s">
        <v>974</v>
      </c>
      <c r="C506" s="45">
        <v>15</v>
      </c>
      <c r="D506" s="133" t="s">
        <v>973</v>
      </c>
      <c r="E506" s="159" t="s">
        <v>989</v>
      </c>
      <c r="F506" s="174"/>
      <c r="G506" s="135" t="s">
        <v>53</v>
      </c>
      <c r="H506" s="158" t="s">
        <v>348</v>
      </c>
      <c r="I506" s="159" t="s">
        <v>998</v>
      </c>
      <c r="J506" s="221"/>
      <c r="K506" s="221"/>
      <c r="L506" s="221"/>
      <c r="M506" s="222"/>
      <c r="N506" s="222"/>
      <c r="O506" s="223"/>
      <c r="P506" s="106" t="b">
        <f t="shared" si="24"/>
        <v>0</v>
      </c>
    </row>
    <row r="507" spans="1:16" ht="19.5" hidden="1" thickBot="1" x14ac:dyDescent="0.3">
      <c r="A507" s="188">
        <v>18</v>
      </c>
      <c r="B507" s="189" t="s">
        <v>974</v>
      </c>
      <c r="C507" s="190">
        <f>COUNTA(C492:C506)</f>
        <v>15</v>
      </c>
      <c r="D507" s="191" t="s">
        <v>1</v>
      </c>
      <c r="E507" s="191" t="s">
        <v>1374</v>
      </c>
      <c r="F507" s="190">
        <f>COUNTA(F492:F506)</f>
        <v>10</v>
      </c>
      <c r="G507" s="190">
        <f>COUNTA(G492:G506)</f>
        <v>5</v>
      </c>
      <c r="H507" s="298" t="s">
        <v>3</v>
      </c>
      <c r="I507" s="299"/>
      <c r="J507" s="115">
        <f t="shared" ref="J507:P507" si="26">COUNTA(J492:J506)</f>
        <v>8</v>
      </c>
      <c r="K507" s="115">
        <f t="shared" si="26"/>
        <v>1</v>
      </c>
      <c r="L507" s="115">
        <f t="shared" si="26"/>
        <v>0</v>
      </c>
      <c r="M507" s="115">
        <f t="shared" si="26"/>
        <v>0</v>
      </c>
      <c r="N507" s="115">
        <f t="shared" si="26"/>
        <v>2</v>
      </c>
      <c r="O507" s="116">
        <f t="shared" si="26"/>
        <v>1</v>
      </c>
      <c r="P507" s="108">
        <f t="shared" si="26"/>
        <v>15</v>
      </c>
    </row>
    <row r="508" spans="1:16" x14ac:dyDescent="0.3">
      <c r="A508" s="119">
        <v>19</v>
      </c>
      <c r="B508" s="41" t="s">
        <v>1022</v>
      </c>
      <c r="C508" s="44">
        <v>1</v>
      </c>
      <c r="D508" s="150" t="s">
        <v>999</v>
      </c>
      <c r="E508" s="153" t="s">
        <v>1023</v>
      </c>
      <c r="F508" s="151" t="s">
        <v>52</v>
      </c>
      <c r="G508" s="169"/>
      <c r="H508" s="152" t="s">
        <v>170</v>
      </c>
      <c r="I508" s="153" t="s">
        <v>265</v>
      </c>
      <c r="J508" s="218"/>
      <c r="K508" s="218"/>
      <c r="L508" s="218"/>
      <c r="M508" s="219"/>
      <c r="N508" s="219"/>
      <c r="O508" s="220"/>
      <c r="P508" s="106" t="b">
        <f t="shared" si="24"/>
        <v>0</v>
      </c>
    </row>
    <row r="509" spans="1:16" x14ac:dyDescent="0.3">
      <c r="A509" s="124">
        <v>19</v>
      </c>
      <c r="B509" s="37" t="s">
        <v>1022</v>
      </c>
      <c r="C509" s="50">
        <v>2</v>
      </c>
      <c r="D509" s="125" t="s">
        <v>1000</v>
      </c>
      <c r="E509" s="185" t="s">
        <v>1024</v>
      </c>
      <c r="F509" s="126" t="s">
        <v>52</v>
      </c>
      <c r="G509" s="131"/>
      <c r="H509" s="122" t="s">
        <v>262</v>
      </c>
      <c r="I509" s="123" t="s">
        <v>580</v>
      </c>
      <c r="J509" s="212" t="s">
        <v>1383</v>
      </c>
      <c r="K509" s="212"/>
      <c r="L509" s="212"/>
      <c r="M509" s="213"/>
      <c r="N509" s="213"/>
      <c r="O509" s="214"/>
      <c r="P509" s="106" t="b">
        <f t="shared" si="24"/>
        <v>1</v>
      </c>
    </row>
    <row r="510" spans="1:16" x14ac:dyDescent="0.3">
      <c r="A510" s="124">
        <v>19</v>
      </c>
      <c r="B510" s="37" t="s">
        <v>1022</v>
      </c>
      <c r="C510" s="50">
        <v>3</v>
      </c>
      <c r="D510" s="125" t="s">
        <v>1001</v>
      </c>
      <c r="E510" s="185" t="s">
        <v>1025</v>
      </c>
      <c r="F510" s="126" t="s">
        <v>52</v>
      </c>
      <c r="G510" s="131"/>
      <c r="H510" s="122" t="s">
        <v>262</v>
      </c>
      <c r="I510" s="123" t="s">
        <v>580</v>
      </c>
      <c r="J510" s="212" t="s">
        <v>1383</v>
      </c>
      <c r="K510" s="212"/>
      <c r="L510" s="212"/>
      <c r="M510" s="213"/>
      <c r="N510" s="213"/>
      <c r="O510" s="214"/>
      <c r="P510" s="106" t="b">
        <f t="shared" si="24"/>
        <v>1</v>
      </c>
    </row>
    <row r="511" spans="1:16" x14ac:dyDescent="0.3">
      <c r="A511" s="124">
        <v>19</v>
      </c>
      <c r="B511" s="37" t="s">
        <v>1022</v>
      </c>
      <c r="C511" s="50">
        <v>4</v>
      </c>
      <c r="D511" s="125" t="s">
        <v>1002</v>
      </c>
      <c r="E511" s="185" t="s">
        <v>1026</v>
      </c>
      <c r="F511" s="126" t="s">
        <v>52</v>
      </c>
      <c r="G511" s="131"/>
      <c r="H511" s="122" t="s">
        <v>262</v>
      </c>
      <c r="I511" s="123" t="s">
        <v>580</v>
      </c>
      <c r="J511" s="212" t="s">
        <v>1383</v>
      </c>
      <c r="K511" s="212" t="s">
        <v>1383</v>
      </c>
      <c r="L511" s="212"/>
      <c r="M511" s="213"/>
      <c r="N511" s="213"/>
      <c r="O511" s="214"/>
      <c r="P511" s="106" t="b">
        <f t="shared" si="24"/>
        <v>1</v>
      </c>
    </row>
    <row r="512" spans="1:16" x14ac:dyDescent="0.3">
      <c r="A512" s="124">
        <v>19</v>
      </c>
      <c r="B512" s="37" t="s">
        <v>1022</v>
      </c>
      <c r="C512" s="50">
        <v>5</v>
      </c>
      <c r="D512" s="125" t="s">
        <v>1003</v>
      </c>
      <c r="E512" s="185" t="s">
        <v>1027</v>
      </c>
      <c r="F512" s="126" t="s">
        <v>52</v>
      </c>
      <c r="G512" s="131"/>
      <c r="H512" s="122" t="s">
        <v>314</v>
      </c>
      <c r="I512" s="123" t="s">
        <v>1050</v>
      </c>
      <c r="J512" s="212" t="s">
        <v>1383</v>
      </c>
      <c r="K512" s="212"/>
      <c r="L512" s="212"/>
      <c r="M512" s="213"/>
      <c r="N512" s="213"/>
      <c r="O512" s="214"/>
      <c r="P512" s="106" t="b">
        <f t="shared" si="24"/>
        <v>1</v>
      </c>
    </row>
    <row r="513" spans="1:16" x14ac:dyDescent="0.3">
      <c r="A513" s="124">
        <v>19</v>
      </c>
      <c r="B513" s="37" t="s">
        <v>1022</v>
      </c>
      <c r="C513" s="50">
        <v>6</v>
      </c>
      <c r="D513" s="125" t="s">
        <v>1004</v>
      </c>
      <c r="E513" s="185" t="s">
        <v>1028</v>
      </c>
      <c r="F513" s="126" t="s">
        <v>52</v>
      </c>
      <c r="G513" s="131"/>
      <c r="H513" s="122" t="s">
        <v>314</v>
      </c>
      <c r="I513" s="123" t="s">
        <v>1050</v>
      </c>
      <c r="J513" s="212" t="s">
        <v>1383</v>
      </c>
      <c r="K513" s="212"/>
      <c r="L513" s="212"/>
      <c r="M513" s="213"/>
      <c r="N513" s="213"/>
      <c r="O513" s="214"/>
      <c r="P513" s="106" t="b">
        <f t="shared" si="24"/>
        <v>1</v>
      </c>
    </row>
    <row r="514" spans="1:16" x14ac:dyDescent="0.3">
      <c r="A514" s="124">
        <v>19</v>
      </c>
      <c r="B514" s="37" t="s">
        <v>1022</v>
      </c>
      <c r="C514" s="50">
        <v>7</v>
      </c>
      <c r="D514" s="125" t="s">
        <v>1005</v>
      </c>
      <c r="E514" s="185" t="s">
        <v>1029</v>
      </c>
      <c r="F514" s="126"/>
      <c r="G514" s="128" t="s">
        <v>53</v>
      </c>
      <c r="H514" s="154" t="s">
        <v>267</v>
      </c>
      <c r="I514" s="155" t="s">
        <v>268</v>
      </c>
      <c r="J514" s="212"/>
      <c r="K514" s="212"/>
      <c r="L514" s="212"/>
      <c r="M514" s="213"/>
      <c r="N514" s="213"/>
      <c r="O514" s="214"/>
      <c r="P514" s="106" t="b">
        <f t="shared" si="24"/>
        <v>0</v>
      </c>
    </row>
    <row r="515" spans="1:16" x14ac:dyDescent="0.3">
      <c r="A515" s="124">
        <v>19</v>
      </c>
      <c r="B515" s="37" t="s">
        <v>1022</v>
      </c>
      <c r="C515" s="50">
        <v>8</v>
      </c>
      <c r="D515" s="125" t="s">
        <v>1006</v>
      </c>
      <c r="E515" s="185" t="s">
        <v>1030</v>
      </c>
      <c r="F515" s="126" t="s">
        <v>52</v>
      </c>
      <c r="G515" s="131"/>
      <c r="H515" s="122" t="s">
        <v>262</v>
      </c>
      <c r="I515" s="123" t="s">
        <v>580</v>
      </c>
      <c r="J515" s="212" t="s">
        <v>1383</v>
      </c>
      <c r="K515" s="212" t="s">
        <v>1383</v>
      </c>
      <c r="L515" s="212"/>
      <c r="M515" s="213"/>
      <c r="N515" s="213"/>
      <c r="O515" s="214"/>
      <c r="P515" s="106" t="b">
        <f t="shared" si="24"/>
        <v>1</v>
      </c>
    </row>
    <row r="516" spans="1:16" x14ac:dyDescent="0.3">
      <c r="A516" s="124">
        <v>19</v>
      </c>
      <c r="B516" s="37" t="s">
        <v>1022</v>
      </c>
      <c r="C516" s="50">
        <v>9</v>
      </c>
      <c r="D516" s="125" t="s">
        <v>1007</v>
      </c>
      <c r="E516" s="185" t="s">
        <v>1032</v>
      </c>
      <c r="F516" s="126" t="s">
        <v>52</v>
      </c>
      <c r="G516" s="131"/>
      <c r="H516" s="122" t="s">
        <v>262</v>
      </c>
      <c r="I516" s="123" t="s">
        <v>580</v>
      </c>
      <c r="J516" s="212" t="s">
        <v>1383</v>
      </c>
      <c r="K516" s="212"/>
      <c r="L516" s="212"/>
      <c r="M516" s="213"/>
      <c r="N516" s="213"/>
      <c r="O516" s="214"/>
      <c r="P516" s="106" t="b">
        <f t="shared" si="24"/>
        <v>1</v>
      </c>
    </row>
    <row r="517" spans="1:16" x14ac:dyDescent="0.3">
      <c r="A517" s="124">
        <v>19</v>
      </c>
      <c r="B517" s="37" t="s">
        <v>1022</v>
      </c>
      <c r="C517" s="50">
        <v>10</v>
      </c>
      <c r="D517" s="125" t="s">
        <v>1008</v>
      </c>
      <c r="E517" s="185" t="s">
        <v>1031</v>
      </c>
      <c r="F517" s="126" t="s">
        <v>52</v>
      </c>
      <c r="G517" s="131"/>
      <c r="H517" s="122" t="s">
        <v>267</v>
      </c>
      <c r="I517" s="123" t="s">
        <v>268</v>
      </c>
      <c r="J517" s="212" t="s">
        <v>1383</v>
      </c>
      <c r="K517" s="212"/>
      <c r="L517" s="212"/>
      <c r="M517" s="213"/>
      <c r="N517" s="213"/>
      <c r="O517" s="214"/>
      <c r="P517" s="106" t="b">
        <f t="shared" si="24"/>
        <v>1</v>
      </c>
    </row>
    <row r="518" spans="1:16" x14ac:dyDescent="0.3">
      <c r="A518" s="124">
        <v>19</v>
      </c>
      <c r="B518" s="37" t="s">
        <v>1022</v>
      </c>
      <c r="C518" s="50">
        <v>11</v>
      </c>
      <c r="D518" s="125" t="s">
        <v>1009</v>
      </c>
      <c r="E518" s="185" t="s">
        <v>1033</v>
      </c>
      <c r="F518" s="126" t="s">
        <v>52</v>
      </c>
      <c r="G518" s="131"/>
      <c r="H518" s="122" t="s">
        <v>262</v>
      </c>
      <c r="I518" s="123" t="s">
        <v>580</v>
      </c>
      <c r="J518" s="212" t="s">
        <v>1383</v>
      </c>
      <c r="K518" s="212"/>
      <c r="L518" s="212"/>
      <c r="M518" s="213"/>
      <c r="N518" s="213"/>
      <c r="O518" s="214"/>
      <c r="P518" s="106" t="b">
        <f t="shared" si="24"/>
        <v>1</v>
      </c>
    </row>
    <row r="519" spans="1:16" x14ac:dyDescent="0.3">
      <c r="A519" s="124">
        <v>19</v>
      </c>
      <c r="B519" s="37" t="s">
        <v>1022</v>
      </c>
      <c r="C519" s="50">
        <v>12</v>
      </c>
      <c r="D519" s="125" t="s">
        <v>426</v>
      </c>
      <c r="E519" s="185" t="s">
        <v>1034</v>
      </c>
      <c r="F519" s="126" t="s">
        <v>52</v>
      </c>
      <c r="G519" s="131"/>
      <c r="H519" s="122" t="s">
        <v>267</v>
      </c>
      <c r="I519" s="123" t="s">
        <v>268</v>
      </c>
      <c r="J519" s="212"/>
      <c r="K519" s="212"/>
      <c r="L519" s="212"/>
      <c r="M519" s="213"/>
      <c r="N519" s="213"/>
      <c r="O519" s="214"/>
      <c r="P519" s="106" t="b">
        <f t="shared" si="24"/>
        <v>0</v>
      </c>
    </row>
    <row r="520" spans="1:16" x14ac:dyDescent="0.3">
      <c r="A520" s="124">
        <v>19</v>
      </c>
      <c r="B520" s="37" t="s">
        <v>1022</v>
      </c>
      <c r="C520" s="50">
        <v>13</v>
      </c>
      <c r="D520" s="125" t="s">
        <v>31</v>
      </c>
      <c r="E520" s="185" t="s">
        <v>1035</v>
      </c>
      <c r="F520" s="126" t="s">
        <v>52</v>
      </c>
      <c r="G520" s="131"/>
      <c r="H520" s="122" t="s">
        <v>267</v>
      </c>
      <c r="I520" s="123" t="s">
        <v>268</v>
      </c>
      <c r="J520" s="212"/>
      <c r="K520" s="212"/>
      <c r="L520" s="212"/>
      <c r="M520" s="213"/>
      <c r="N520" s="213"/>
      <c r="O520" s="214"/>
      <c r="P520" s="106" t="b">
        <f t="shared" si="24"/>
        <v>0</v>
      </c>
    </row>
    <row r="521" spans="1:16" x14ac:dyDescent="0.3">
      <c r="A521" s="124">
        <v>19</v>
      </c>
      <c r="B521" s="37" t="s">
        <v>1022</v>
      </c>
      <c r="C521" s="50">
        <v>14</v>
      </c>
      <c r="D521" s="125" t="s">
        <v>1010</v>
      </c>
      <c r="E521" s="185" t="s">
        <v>1036</v>
      </c>
      <c r="F521" s="126" t="s">
        <v>52</v>
      </c>
      <c r="G521" s="131"/>
      <c r="H521" s="122" t="s">
        <v>262</v>
      </c>
      <c r="I521" s="123" t="s">
        <v>580</v>
      </c>
      <c r="J521" s="212" t="s">
        <v>1383</v>
      </c>
      <c r="K521" s="212"/>
      <c r="L521" s="212"/>
      <c r="M521" s="213"/>
      <c r="N521" s="213"/>
      <c r="O521" s="214"/>
      <c r="P521" s="106" t="b">
        <f t="shared" si="24"/>
        <v>1</v>
      </c>
    </row>
    <row r="522" spans="1:16" x14ac:dyDescent="0.3">
      <c r="A522" s="124">
        <v>19</v>
      </c>
      <c r="B522" s="37" t="s">
        <v>1022</v>
      </c>
      <c r="C522" s="50">
        <v>15</v>
      </c>
      <c r="D522" s="125" t="s">
        <v>1011</v>
      </c>
      <c r="E522" s="185" t="s">
        <v>1037</v>
      </c>
      <c r="F522" s="126" t="s">
        <v>52</v>
      </c>
      <c r="G522" s="128"/>
      <c r="H522" s="122" t="s">
        <v>170</v>
      </c>
      <c r="I522" s="123" t="s">
        <v>265</v>
      </c>
      <c r="J522" s="212"/>
      <c r="K522" s="212"/>
      <c r="L522" s="212"/>
      <c r="M522" s="213"/>
      <c r="N522" s="213"/>
      <c r="O522" s="214"/>
      <c r="P522" s="106" t="b">
        <f t="shared" si="24"/>
        <v>0</v>
      </c>
    </row>
    <row r="523" spans="1:16" x14ac:dyDescent="0.3">
      <c r="A523" s="124">
        <v>19</v>
      </c>
      <c r="B523" s="37" t="s">
        <v>1022</v>
      </c>
      <c r="C523" s="50">
        <v>16</v>
      </c>
      <c r="D523" s="125" t="s">
        <v>1012</v>
      </c>
      <c r="E523" s="185" t="s">
        <v>1038</v>
      </c>
      <c r="F523" s="126" t="s">
        <v>52</v>
      </c>
      <c r="G523" s="128"/>
      <c r="H523" s="122" t="s">
        <v>170</v>
      </c>
      <c r="I523" s="123" t="s">
        <v>265</v>
      </c>
      <c r="J523" s="212"/>
      <c r="K523" s="212"/>
      <c r="L523" s="212"/>
      <c r="M523" s="213"/>
      <c r="N523" s="213"/>
      <c r="O523" s="214"/>
      <c r="P523" s="106" t="b">
        <f t="shared" si="24"/>
        <v>0</v>
      </c>
    </row>
    <row r="524" spans="1:16" x14ac:dyDescent="0.3">
      <c r="A524" s="124">
        <v>19</v>
      </c>
      <c r="B524" s="37" t="s">
        <v>1022</v>
      </c>
      <c r="C524" s="50">
        <v>17</v>
      </c>
      <c r="D524" s="125" t="s">
        <v>1013</v>
      </c>
      <c r="E524" s="185" t="s">
        <v>1039</v>
      </c>
      <c r="F524" s="131"/>
      <c r="G524" s="128" t="s">
        <v>53</v>
      </c>
      <c r="H524" s="154" t="s">
        <v>267</v>
      </c>
      <c r="I524" s="155" t="s">
        <v>268</v>
      </c>
      <c r="J524" s="212"/>
      <c r="K524" s="212"/>
      <c r="L524" s="212"/>
      <c r="M524" s="213"/>
      <c r="N524" s="213"/>
      <c r="O524" s="214"/>
      <c r="P524" s="106" t="b">
        <f t="shared" si="24"/>
        <v>0</v>
      </c>
    </row>
    <row r="525" spans="1:16" x14ac:dyDescent="0.3">
      <c r="A525" s="124">
        <v>19</v>
      </c>
      <c r="B525" s="37" t="s">
        <v>1022</v>
      </c>
      <c r="C525" s="50">
        <v>18</v>
      </c>
      <c r="D525" s="125" t="s">
        <v>1014</v>
      </c>
      <c r="E525" s="185" t="s">
        <v>1040</v>
      </c>
      <c r="F525" s="126" t="s">
        <v>52</v>
      </c>
      <c r="G525" s="131"/>
      <c r="H525" s="122" t="s">
        <v>314</v>
      </c>
      <c r="I525" s="123" t="s">
        <v>1050</v>
      </c>
      <c r="J525" s="212" t="s">
        <v>1383</v>
      </c>
      <c r="K525" s="212"/>
      <c r="L525" s="212"/>
      <c r="M525" s="213"/>
      <c r="N525" s="213"/>
      <c r="O525" s="214"/>
      <c r="P525" s="106" t="b">
        <f t="shared" si="24"/>
        <v>1</v>
      </c>
    </row>
    <row r="526" spans="1:16" x14ac:dyDescent="0.3">
      <c r="A526" s="124">
        <v>19</v>
      </c>
      <c r="B526" s="37" t="s">
        <v>1022</v>
      </c>
      <c r="C526" s="50">
        <v>19</v>
      </c>
      <c r="D526" s="125" t="s">
        <v>1015</v>
      </c>
      <c r="E526" s="185" t="s">
        <v>1041</v>
      </c>
      <c r="F526" s="126" t="s">
        <v>52</v>
      </c>
      <c r="G526" s="131"/>
      <c r="H526" s="122" t="s">
        <v>314</v>
      </c>
      <c r="I526" s="123" t="s">
        <v>1050</v>
      </c>
      <c r="J526" s="212"/>
      <c r="K526" s="212"/>
      <c r="L526" s="212"/>
      <c r="M526" s="213"/>
      <c r="N526" s="213"/>
      <c r="O526" s="214"/>
      <c r="P526" s="106" t="b">
        <f t="shared" si="24"/>
        <v>0</v>
      </c>
    </row>
    <row r="527" spans="1:16" x14ac:dyDescent="0.3">
      <c r="A527" s="124">
        <v>19</v>
      </c>
      <c r="B527" s="37" t="s">
        <v>1022</v>
      </c>
      <c r="C527" s="50">
        <v>20</v>
      </c>
      <c r="D527" s="125" t="s">
        <v>43</v>
      </c>
      <c r="E527" s="185" t="s">
        <v>1042</v>
      </c>
      <c r="F527" s="126" t="s">
        <v>52</v>
      </c>
      <c r="G527" s="131"/>
      <c r="H527" s="122" t="s">
        <v>267</v>
      </c>
      <c r="I527" s="123" t="s">
        <v>268</v>
      </c>
      <c r="J527" s="212" t="s">
        <v>1383</v>
      </c>
      <c r="K527" s="212" t="s">
        <v>1383</v>
      </c>
      <c r="L527" s="212"/>
      <c r="M527" s="213"/>
      <c r="N527" s="213"/>
      <c r="O527" s="214"/>
      <c r="P527" s="106" t="b">
        <f t="shared" si="24"/>
        <v>1</v>
      </c>
    </row>
    <row r="528" spans="1:16" x14ac:dyDescent="0.3">
      <c r="A528" s="124">
        <v>19</v>
      </c>
      <c r="B528" s="37" t="s">
        <v>1022</v>
      </c>
      <c r="C528" s="50">
        <v>21</v>
      </c>
      <c r="D528" s="125" t="s">
        <v>1016</v>
      </c>
      <c r="E528" s="185" t="s">
        <v>1043</v>
      </c>
      <c r="F528" s="126" t="s">
        <v>52</v>
      </c>
      <c r="G528" s="131"/>
      <c r="H528" s="122" t="s">
        <v>1051</v>
      </c>
      <c r="I528" s="123" t="s">
        <v>1049</v>
      </c>
      <c r="J528" s="212" t="s">
        <v>1383</v>
      </c>
      <c r="K528" s="212"/>
      <c r="L528" s="212"/>
      <c r="M528" s="213"/>
      <c r="N528" s="213"/>
      <c r="O528" s="214"/>
      <c r="P528" s="106" t="b">
        <f t="shared" si="24"/>
        <v>1</v>
      </c>
    </row>
    <row r="529" spans="1:16" x14ac:dyDescent="0.3">
      <c r="A529" s="124">
        <v>19</v>
      </c>
      <c r="B529" s="37" t="s">
        <v>1022</v>
      </c>
      <c r="C529" s="50">
        <v>22</v>
      </c>
      <c r="D529" s="125" t="s">
        <v>829</v>
      </c>
      <c r="E529" s="185" t="s">
        <v>1044</v>
      </c>
      <c r="F529" s="126" t="s">
        <v>52</v>
      </c>
      <c r="G529" s="131"/>
      <c r="H529" s="122" t="s">
        <v>262</v>
      </c>
      <c r="I529" s="123" t="s">
        <v>580</v>
      </c>
      <c r="J529" s="212" t="s">
        <v>1383</v>
      </c>
      <c r="K529" s="212"/>
      <c r="L529" s="212"/>
      <c r="M529" s="213"/>
      <c r="N529" s="213"/>
      <c r="O529" s="214"/>
      <c r="P529" s="106" t="b">
        <f t="shared" si="24"/>
        <v>1</v>
      </c>
    </row>
    <row r="530" spans="1:16" x14ac:dyDescent="0.3">
      <c r="A530" s="124">
        <v>19</v>
      </c>
      <c r="B530" s="37" t="s">
        <v>1022</v>
      </c>
      <c r="C530" s="50">
        <v>23</v>
      </c>
      <c r="D530" s="125" t="s">
        <v>1017</v>
      </c>
      <c r="E530" s="185" t="s">
        <v>1045</v>
      </c>
      <c r="F530" s="126" t="s">
        <v>52</v>
      </c>
      <c r="G530" s="131"/>
      <c r="H530" s="122" t="s">
        <v>262</v>
      </c>
      <c r="I530" s="123" t="s">
        <v>580</v>
      </c>
      <c r="J530" s="212" t="s">
        <v>1383</v>
      </c>
      <c r="K530" s="212"/>
      <c r="L530" s="212" t="s">
        <v>1383</v>
      </c>
      <c r="M530" s="213"/>
      <c r="N530" s="213"/>
      <c r="O530" s="214"/>
      <c r="P530" s="106" t="b">
        <f t="shared" si="24"/>
        <v>1</v>
      </c>
    </row>
    <row r="531" spans="1:16" x14ac:dyDescent="0.3">
      <c r="A531" s="124">
        <v>19</v>
      </c>
      <c r="B531" s="37" t="s">
        <v>1022</v>
      </c>
      <c r="C531" s="50">
        <v>24</v>
      </c>
      <c r="D531" s="125" t="s">
        <v>1018</v>
      </c>
      <c r="E531" s="185" t="s">
        <v>1046</v>
      </c>
      <c r="F531" s="126" t="s">
        <v>52</v>
      </c>
      <c r="G531" s="131"/>
      <c r="H531" s="122" t="s">
        <v>262</v>
      </c>
      <c r="I531" s="123" t="s">
        <v>580</v>
      </c>
      <c r="J531" s="212"/>
      <c r="K531" s="212"/>
      <c r="L531" s="212"/>
      <c r="M531" s="213"/>
      <c r="N531" s="213"/>
      <c r="O531" s="214"/>
      <c r="P531" s="106" t="b">
        <f t="shared" si="24"/>
        <v>0</v>
      </c>
    </row>
    <row r="532" spans="1:16" x14ac:dyDescent="0.3">
      <c r="A532" s="124">
        <v>19</v>
      </c>
      <c r="B532" s="37" t="s">
        <v>1022</v>
      </c>
      <c r="C532" s="50">
        <v>25</v>
      </c>
      <c r="D532" s="125" t="s">
        <v>1019</v>
      </c>
      <c r="E532" s="185" t="s">
        <v>1047</v>
      </c>
      <c r="F532" s="126" t="s">
        <v>52</v>
      </c>
      <c r="G532" s="131"/>
      <c r="H532" s="122" t="s">
        <v>314</v>
      </c>
      <c r="I532" s="123" t="s">
        <v>1050</v>
      </c>
      <c r="J532" s="212" t="s">
        <v>1383</v>
      </c>
      <c r="K532" s="212"/>
      <c r="L532" s="212"/>
      <c r="M532" s="213"/>
      <c r="N532" s="213"/>
      <c r="O532" s="214"/>
      <c r="P532" s="106" t="b">
        <f t="shared" si="24"/>
        <v>1</v>
      </c>
    </row>
    <row r="533" spans="1:16" x14ac:dyDescent="0.3">
      <c r="A533" s="124">
        <v>19</v>
      </c>
      <c r="B533" s="37" t="s">
        <v>1022</v>
      </c>
      <c r="C533" s="50">
        <v>26</v>
      </c>
      <c r="D533" s="125" t="s">
        <v>1020</v>
      </c>
      <c r="E533" s="185" t="s">
        <v>1048</v>
      </c>
      <c r="F533" s="126" t="s">
        <v>52</v>
      </c>
      <c r="G533" s="131"/>
      <c r="H533" s="122" t="s">
        <v>262</v>
      </c>
      <c r="I533" s="123" t="s">
        <v>580</v>
      </c>
      <c r="J533" s="212" t="s">
        <v>1383</v>
      </c>
      <c r="K533" s="212"/>
      <c r="L533" s="212"/>
      <c r="M533" s="213"/>
      <c r="N533" s="213"/>
      <c r="O533" s="214"/>
      <c r="P533" s="106" t="b">
        <f t="shared" si="24"/>
        <v>1</v>
      </c>
    </row>
    <row r="534" spans="1:16" ht="19.5" thickBot="1" x14ac:dyDescent="0.35">
      <c r="A534" s="132">
        <v>19</v>
      </c>
      <c r="B534" s="39" t="s">
        <v>1022</v>
      </c>
      <c r="C534" s="51">
        <v>27</v>
      </c>
      <c r="D534" s="133" t="s">
        <v>1021</v>
      </c>
      <c r="E534" s="159" t="s">
        <v>1049</v>
      </c>
      <c r="F534" s="157" t="s">
        <v>52</v>
      </c>
      <c r="G534" s="174"/>
      <c r="H534" s="158" t="s">
        <v>262</v>
      </c>
      <c r="I534" s="159" t="s">
        <v>580</v>
      </c>
      <c r="J534" s="221" t="s">
        <v>1383</v>
      </c>
      <c r="K534" s="221"/>
      <c r="L534" s="221"/>
      <c r="M534" s="222"/>
      <c r="N534" s="222"/>
      <c r="O534" s="223"/>
      <c r="P534" s="106" t="b">
        <f t="shared" si="24"/>
        <v>1</v>
      </c>
    </row>
    <row r="535" spans="1:16" ht="19.5" hidden="1" thickBot="1" x14ac:dyDescent="0.3">
      <c r="A535" s="188">
        <v>19</v>
      </c>
      <c r="B535" s="192" t="s">
        <v>1022</v>
      </c>
      <c r="C535" s="190">
        <f>COUNTA(C508:C534)</f>
        <v>27</v>
      </c>
      <c r="D535" s="191" t="s">
        <v>1</v>
      </c>
      <c r="E535" s="191" t="s">
        <v>1374</v>
      </c>
      <c r="F535" s="190">
        <f>COUNTA(F508:F534)</f>
        <v>25</v>
      </c>
      <c r="G535" s="190">
        <f>COUNTA(G508:G534)</f>
        <v>2</v>
      </c>
      <c r="H535" s="298" t="s">
        <v>3</v>
      </c>
      <c r="I535" s="299"/>
      <c r="J535" s="115">
        <f>COUNTA(J508:J534)</f>
        <v>18</v>
      </c>
      <c r="K535" s="115">
        <f t="shared" ref="K535:O535" si="27">COUNTA(K508:K534)</f>
        <v>3</v>
      </c>
      <c r="L535" s="115">
        <f t="shared" si="27"/>
        <v>1</v>
      </c>
      <c r="M535" s="115">
        <f t="shared" si="27"/>
        <v>0</v>
      </c>
      <c r="N535" s="115">
        <f t="shared" si="27"/>
        <v>0</v>
      </c>
      <c r="O535" s="116">
        <f t="shared" si="27"/>
        <v>0</v>
      </c>
      <c r="P535" s="108">
        <f>COUNTIF(P508:P534,TRUE)</f>
        <v>18</v>
      </c>
    </row>
    <row r="536" spans="1:16" x14ac:dyDescent="0.3">
      <c r="A536" s="119">
        <v>20</v>
      </c>
      <c r="B536" s="41" t="s">
        <v>1065</v>
      </c>
      <c r="C536" s="44">
        <v>1</v>
      </c>
      <c r="D536" s="150" t="s">
        <v>1052</v>
      </c>
      <c r="E536" s="153" t="s">
        <v>1066</v>
      </c>
      <c r="F536" s="151" t="s">
        <v>52</v>
      </c>
      <c r="G536" s="168"/>
      <c r="H536" s="152" t="s">
        <v>343</v>
      </c>
      <c r="I536" s="153" t="s">
        <v>342</v>
      </c>
      <c r="J536" s="218" t="s">
        <v>1383</v>
      </c>
      <c r="K536" s="218"/>
      <c r="L536" s="218" t="s">
        <v>1383</v>
      </c>
      <c r="M536" s="219"/>
      <c r="N536" s="219"/>
      <c r="O536" s="220"/>
      <c r="P536" s="106" t="b">
        <f t="shared" si="24"/>
        <v>1</v>
      </c>
    </row>
    <row r="537" spans="1:16" x14ac:dyDescent="0.3">
      <c r="A537" s="124">
        <v>20</v>
      </c>
      <c r="B537" s="37" t="s">
        <v>1065</v>
      </c>
      <c r="C537" s="38">
        <v>2</v>
      </c>
      <c r="D537" s="125" t="s">
        <v>611</v>
      </c>
      <c r="E537" s="123" t="s">
        <v>1067</v>
      </c>
      <c r="F537" s="131"/>
      <c r="G537" s="128" t="s">
        <v>53</v>
      </c>
      <c r="H537" s="154" t="s">
        <v>1085</v>
      </c>
      <c r="I537" s="155" t="s">
        <v>1084</v>
      </c>
      <c r="J537" s="212"/>
      <c r="K537" s="212"/>
      <c r="L537" s="212"/>
      <c r="M537" s="213"/>
      <c r="N537" s="213"/>
      <c r="O537" s="214"/>
      <c r="P537" s="106" t="b">
        <f t="shared" si="24"/>
        <v>0</v>
      </c>
    </row>
    <row r="538" spans="1:16" x14ac:dyDescent="0.3">
      <c r="A538" s="124">
        <v>20</v>
      </c>
      <c r="B538" s="37" t="s">
        <v>1065</v>
      </c>
      <c r="C538" s="38">
        <v>3</v>
      </c>
      <c r="D538" s="125" t="s">
        <v>1053</v>
      </c>
      <c r="E538" s="123" t="s">
        <v>1068</v>
      </c>
      <c r="F538" s="126" t="s">
        <v>52</v>
      </c>
      <c r="G538" s="131"/>
      <c r="H538" s="122" t="s">
        <v>344</v>
      </c>
      <c r="I538" s="123" t="s">
        <v>345</v>
      </c>
      <c r="J538" s="212" t="s">
        <v>1383</v>
      </c>
      <c r="K538" s="212"/>
      <c r="L538" s="212"/>
      <c r="M538" s="213"/>
      <c r="N538" s="213"/>
      <c r="O538" s="214"/>
      <c r="P538" s="106" t="b">
        <f t="shared" si="24"/>
        <v>1</v>
      </c>
    </row>
    <row r="539" spans="1:16" x14ac:dyDescent="0.3">
      <c r="A539" s="124">
        <v>20</v>
      </c>
      <c r="B539" s="37" t="s">
        <v>1065</v>
      </c>
      <c r="C539" s="38">
        <v>4</v>
      </c>
      <c r="D539" s="125" t="s">
        <v>1054</v>
      </c>
      <c r="E539" s="123" t="s">
        <v>1069</v>
      </c>
      <c r="F539" s="126" t="s">
        <v>52</v>
      </c>
      <c r="G539" s="131"/>
      <c r="H539" s="122" t="s">
        <v>343</v>
      </c>
      <c r="I539" s="123" t="s">
        <v>342</v>
      </c>
      <c r="J539" s="212" t="s">
        <v>1383</v>
      </c>
      <c r="K539" s="212"/>
      <c r="L539" s="212"/>
      <c r="M539" s="213"/>
      <c r="N539" s="213"/>
      <c r="O539" s="214"/>
      <c r="P539" s="106" t="b">
        <f t="shared" si="24"/>
        <v>1</v>
      </c>
    </row>
    <row r="540" spans="1:16" x14ac:dyDescent="0.3">
      <c r="A540" s="124">
        <v>20</v>
      </c>
      <c r="B540" s="37" t="s">
        <v>1065</v>
      </c>
      <c r="C540" s="38">
        <v>5</v>
      </c>
      <c r="D540" s="125" t="s">
        <v>1055</v>
      </c>
      <c r="E540" s="123" t="s">
        <v>1070</v>
      </c>
      <c r="F540" s="126" t="s">
        <v>52</v>
      </c>
      <c r="G540" s="131"/>
      <c r="H540" s="122" t="s">
        <v>343</v>
      </c>
      <c r="I540" s="123" t="s">
        <v>342</v>
      </c>
      <c r="J540" s="212" t="s">
        <v>1383</v>
      </c>
      <c r="K540" s="212"/>
      <c r="L540" s="212"/>
      <c r="M540" s="213"/>
      <c r="N540" s="213"/>
      <c r="O540" s="214"/>
      <c r="P540" s="106" t="b">
        <f t="shared" si="24"/>
        <v>1</v>
      </c>
    </row>
    <row r="541" spans="1:16" x14ac:dyDescent="0.3">
      <c r="A541" s="124">
        <v>20</v>
      </c>
      <c r="B541" s="37" t="s">
        <v>1065</v>
      </c>
      <c r="C541" s="38">
        <v>6</v>
      </c>
      <c r="D541" s="125" t="s">
        <v>1056</v>
      </c>
      <c r="E541" s="123" t="s">
        <v>1071</v>
      </c>
      <c r="F541" s="131"/>
      <c r="G541" s="128" t="s">
        <v>53</v>
      </c>
      <c r="H541" s="154" t="s">
        <v>1087</v>
      </c>
      <c r="I541" s="155" t="s">
        <v>1086</v>
      </c>
      <c r="J541" s="212"/>
      <c r="K541" s="212"/>
      <c r="L541" s="212"/>
      <c r="M541" s="213"/>
      <c r="N541" s="213"/>
      <c r="O541" s="214"/>
      <c r="P541" s="106" t="b">
        <f t="shared" si="24"/>
        <v>0</v>
      </c>
    </row>
    <row r="542" spans="1:16" x14ac:dyDescent="0.3">
      <c r="A542" s="124">
        <v>20</v>
      </c>
      <c r="B542" s="37" t="s">
        <v>1065</v>
      </c>
      <c r="C542" s="38">
        <v>7</v>
      </c>
      <c r="D542" s="125" t="s">
        <v>1057</v>
      </c>
      <c r="E542" s="123" t="s">
        <v>1072</v>
      </c>
      <c r="F542" s="126" t="s">
        <v>52</v>
      </c>
      <c r="G542" s="131"/>
      <c r="H542" s="122" t="s">
        <v>343</v>
      </c>
      <c r="I542" s="123" t="s">
        <v>342</v>
      </c>
      <c r="J542" s="212" t="s">
        <v>1383</v>
      </c>
      <c r="L542" s="212" t="s">
        <v>1383</v>
      </c>
      <c r="M542" s="213"/>
      <c r="N542" s="213"/>
      <c r="O542" s="214"/>
      <c r="P542" s="106" t="b">
        <f t="shared" si="24"/>
        <v>1</v>
      </c>
    </row>
    <row r="543" spans="1:16" x14ac:dyDescent="0.3">
      <c r="A543" s="124">
        <v>20</v>
      </c>
      <c r="B543" s="37" t="s">
        <v>1065</v>
      </c>
      <c r="C543" s="38">
        <v>8</v>
      </c>
      <c r="D543" s="125" t="s">
        <v>1058</v>
      </c>
      <c r="E543" s="123" t="s">
        <v>1073</v>
      </c>
      <c r="F543" s="126" t="s">
        <v>52</v>
      </c>
      <c r="G543" s="131"/>
      <c r="H543" s="122" t="s">
        <v>343</v>
      </c>
      <c r="I543" s="123" t="s">
        <v>342</v>
      </c>
      <c r="J543" s="212"/>
      <c r="K543" s="212"/>
      <c r="L543" s="212"/>
      <c r="M543" s="213"/>
      <c r="N543" s="213"/>
      <c r="O543" s="214"/>
      <c r="P543" s="106" t="b">
        <f t="shared" ref="P543:P582" si="28">IF(COUNTA(J543:O543)=0,FALSE,TRUE)</f>
        <v>0</v>
      </c>
    </row>
    <row r="544" spans="1:16" x14ac:dyDescent="0.3">
      <c r="A544" s="124">
        <v>20</v>
      </c>
      <c r="B544" s="37" t="s">
        <v>1065</v>
      </c>
      <c r="C544" s="38">
        <v>9</v>
      </c>
      <c r="D544" s="125" t="s">
        <v>493</v>
      </c>
      <c r="E544" s="123" t="s">
        <v>1074</v>
      </c>
      <c r="F544" s="126" t="s">
        <v>52</v>
      </c>
      <c r="G544" s="131"/>
      <c r="H544" s="122" t="s">
        <v>1085</v>
      </c>
      <c r="I544" s="123" t="s">
        <v>1084</v>
      </c>
      <c r="J544" s="212" t="s">
        <v>1383</v>
      </c>
      <c r="K544" s="212"/>
      <c r="L544" s="212"/>
      <c r="M544" s="213"/>
      <c r="N544" s="213"/>
      <c r="O544" s="214"/>
      <c r="P544" s="106" t="b">
        <f t="shared" si="28"/>
        <v>1</v>
      </c>
    </row>
    <row r="545" spans="1:16" x14ac:dyDescent="0.3">
      <c r="A545" s="124">
        <v>20</v>
      </c>
      <c r="B545" s="37" t="s">
        <v>1065</v>
      </c>
      <c r="C545" s="38">
        <v>10</v>
      </c>
      <c r="D545" s="125" t="s">
        <v>1059</v>
      </c>
      <c r="E545" s="123" t="s">
        <v>1075</v>
      </c>
      <c r="F545" s="126" t="s">
        <v>52</v>
      </c>
      <c r="G545" s="131"/>
      <c r="H545" s="122" t="s">
        <v>1085</v>
      </c>
      <c r="I545" s="123" t="s">
        <v>1084</v>
      </c>
      <c r="J545" s="212" t="s">
        <v>1383</v>
      </c>
      <c r="K545" s="212"/>
      <c r="L545" s="212"/>
      <c r="M545" s="213"/>
      <c r="N545" s="213"/>
      <c r="O545" s="214"/>
      <c r="P545" s="106" t="b">
        <f t="shared" si="28"/>
        <v>1</v>
      </c>
    </row>
    <row r="546" spans="1:16" x14ac:dyDescent="0.3">
      <c r="A546" s="124">
        <v>20</v>
      </c>
      <c r="B546" s="37" t="s">
        <v>1065</v>
      </c>
      <c r="C546" s="38">
        <v>11</v>
      </c>
      <c r="D546" s="125" t="s">
        <v>1060</v>
      </c>
      <c r="E546" s="123" t="s">
        <v>1076</v>
      </c>
      <c r="F546" s="126" t="s">
        <v>52</v>
      </c>
      <c r="G546" s="131"/>
      <c r="H546" s="122" t="s">
        <v>1085</v>
      </c>
      <c r="I546" s="123" t="s">
        <v>1084</v>
      </c>
      <c r="J546" s="212" t="s">
        <v>1383</v>
      </c>
      <c r="K546" s="212" t="s">
        <v>1383</v>
      </c>
      <c r="L546" s="212"/>
      <c r="M546" s="213"/>
      <c r="N546" s="213"/>
      <c r="O546" s="214"/>
      <c r="P546" s="106" t="b">
        <f t="shared" si="28"/>
        <v>1</v>
      </c>
    </row>
    <row r="547" spans="1:16" x14ac:dyDescent="0.3">
      <c r="A547" s="124">
        <v>20</v>
      </c>
      <c r="B547" s="37" t="s">
        <v>1065</v>
      </c>
      <c r="C547" s="38">
        <v>12</v>
      </c>
      <c r="D547" s="125" t="s">
        <v>1061</v>
      </c>
      <c r="E547" s="123" t="s">
        <v>1077</v>
      </c>
      <c r="F547" s="126" t="s">
        <v>52</v>
      </c>
      <c r="G547" s="131"/>
      <c r="H547" s="122" t="s">
        <v>343</v>
      </c>
      <c r="I547" s="123" t="s">
        <v>342</v>
      </c>
      <c r="J547" s="212" t="s">
        <v>1383</v>
      </c>
      <c r="K547" s="212"/>
      <c r="L547" s="212"/>
      <c r="M547" s="213"/>
      <c r="N547" s="212" t="s">
        <v>1383</v>
      </c>
      <c r="O547" s="214"/>
      <c r="P547" s="106" t="b">
        <f t="shared" si="28"/>
        <v>1</v>
      </c>
    </row>
    <row r="548" spans="1:16" x14ac:dyDescent="0.3">
      <c r="A548" s="124">
        <v>20</v>
      </c>
      <c r="B548" s="37" t="s">
        <v>1065</v>
      </c>
      <c r="C548" s="38">
        <v>13</v>
      </c>
      <c r="D548" s="125" t="s">
        <v>1062</v>
      </c>
      <c r="E548" s="123" t="s">
        <v>1078</v>
      </c>
      <c r="F548" s="126" t="s">
        <v>52</v>
      </c>
      <c r="G548" s="131"/>
      <c r="H548" s="122" t="s">
        <v>343</v>
      </c>
      <c r="I548" s="123" t="s">
        <v>342</v>
      </c>
      <c r="J548" s="212" t="s">
        <v>1383</v>
      </c>
      <c r="K548" s="212"/>
      <c r="L548" s="212"/>
      <c r="M548" s="213"/>
      <c r="N548" s="213"/>
      <c r="O548" s="214"/>
      <c r="P548" s="106" t="b">
        <f t="shared" si="28"/>
        <v>1</v>
      </c>
    </row>
    <row r="549" spans="1:16" x14ac:dyDescent="0.3">
      <c r="A549" s="124">
        <v>20</v>
      </c>
      <c r="B549" s="37" t="s">
        <v>1065</v>
      </c>
      <c r="C549" s="38">
        <v>14</v>
      </c>
      <c r="D549" s="125" t="s">
        <v>1063</v>
      </c>
      <c r="E549" s="123" t="s">
        <v>1079</v>
      </c>
      <c r="F549" s="131"/>
      <c r="G549" s="128" t="s">
        <v>53</v>
      </c>
      <c r="H549" s="154" t="s">
        <v>1087</v>
      </c>
      <c r="I549" s="155" t="s">
        <v>1086</v>
      </c>
      <c r="J549" s="212"/>
      <c r="K549" s="212"/>
      <c r="L549" s="212"/>
      <c r="M549" s="213"/>
      <c r="N549" s="213"/>
      <c r="O549" s="214"/>
      <c r="P549" s="106" t="b">
        <f t="shared" si="28"/>
        <v>0</v>
      </c>
    </row>
    <row r="550" spans="1:16" x14ac:dyDescent="0.3">
      <c r="A550" s="124">
        <v>20</v>
      </c>
      <c r="B550" s="37" t="s">
        <v>1065</v>
      </c>
      <c r="C550" s="38">
        <v>15</v>
      </c>
      <c r="D550" s="125" t="s">
        <v>43</v>
      </c>
      <c r="E550" s="123" t="s">
        <v>1080</v>
      </c>
      <c r="F550" s="126" t="s">
        <v>52</v>
      </c>
      <c r="G550" s="131"/>
      <c r="H550" s="122" t="s">
        <v>1085</v>
      </c>
      <c r="I550" s="123" t="s">
        <v>1084</v>
      </c>
      <c r="J550" s="212" t="s">
        <v>1383</v>
      </c>
      <c r="K550" s="212" t="s">
        <v>1383</v>
      </c>
      <c r="L550" s="212"/>
      <c r="M550" s="213"/>
      <c r="N550" s="213"/>
      <c r="O550" s="214" t="s">
        <v>1383</v>
      </c>
      <c r="P550" s="106" t="b">
        <f t="shared" si="28"/>
        <v>1</v>
      </c>
    </row>
    <row r="551" spans="1:16" x14ac:dyDescent="0.3">
      <c r="A551" s="124">
        <v>20</v>
      </c>
      <c r="B551" s="37" t="s">
        <v>1065</v>
      </c>
      <c r="C551" s="38">
        <v>16</v>
      </c>
      <c r="D551" s="125" t="s">
        <v>84</v>
      </c>
      <c r="E551" s="123" t="s">
        <v>1081</v>
      </c>
      <c r="F551" s="126" t="s">
        <v>52</v>
      </c>
      <c r="G551" s="131"/>
      <c r="H551" s="122" t="s">
        <v>1085</v>
      </c>
      <c r="I551" s="123" t="s">
        <v>1084</v>
      </c>
      <c r="J551" s="212" t="s">
        <v>1383</v>
      </c>
      <c r="K551" s="212" t="s">
        <v>1383</v>
      </c>
      <c r="L551" s="212"/>
      <c r="M551" s="213"/>
      <c r="N551" s="213"/>
      <c r="O551" s="214"/>
      <c r="P551" s="106" t="b">
        <f t="shared" si="28"/>
        <v>1</v>
      </c>
    </row>
    <row r="552" spans="1:16" x14ac:dyDescent="0.3">
      <c r="A552" s="124">
        <v>20</v>
      </c>
      <c r="B552" s="37" t="s">
        <v>1065</v>
      </c>
      <c r="C552" s="38">
        <v>17</v>
      </c>
      <c r="D552" s="125" t="s">
        <v>624</v>
      </c>
      <c r="E552" s="123" t="s">
        <v>1082</v>
      </c>
      <c r="F552" s="131"/>
      <c r="G552" s="128" t="s">
        <v>53</v>
      </c>
      <c r="H552" s="154" t="s">
        <v>1085</v>
      </c>
      <c r="I552" s="155" t="s">
        <v>1084</v>
      </c>
      <c r="J552" s="212"/>
      <c r="K552" s="212"/>
      <c r="L552" s="212"/>
      <c r="M552" s="213"/>
      <c r="N552" s="213"/>
      <c r="O552" s="214"/>
      <c r="P552" s="106" t="b">
        <f t="shared" si="28"/>
        <v>0</v>
      </c>
    </row>
    <row r="553" spans="1:16" ht="19.5" thickBot="1" x14ac:dyDescent="0.35">
      <c r="A553" s="132">
        <v>20</v>
      </c>
      <c r="B553" s="39" t="s">
        <v>1065</v>
      </c>
      <c r="C553" s="45">
        <v>18</v>
      </c>
      <c r="D553" s="156" t="s">
        <v>1064</v>
      </c>
      <c r="E553" s="159" t="s">
        <v>1083</v>
      </c>
      <c r="F553" s="174"/>
      <c r="G553" s="135" t="s">
        <v>53</v>
      </c>
      <c r="H553" s="175" t="s">
        <v>1085</v>
      </c>
      <c r="I553" s="176" t="s">
        <v>1084</v>
      </c>
      <c r="J553" s="221"/>
      <c r="K553" s="221"/>
      <c r="L553" s="221"/>
      <c r="M553" s="222"/>
      <c r="N553" s="222"/>
      <c r="O553" s="223"/>
      <c r="P553" s="106" t="b">
        <f t="shared" si="28"/>
        <v>0</v>
      </c>
    </row>
    <row r="554" spans="1:16" ht="19.5" hidden="1" thickBot="1" x14ac:dyDescent="0.3">
      <c r="A554" s="188">
        <v>20</v>
      </c>
      <c r="B554" s="189" t="s">
        <v>1065</v>
      </c>
      <c r="C554" s="190">
        <f>COUNTA(C536:C553)</f>
        <v>18</v>
      </c>
      <c r="D554" s="191" t="s">
        <v>1</v>
      </c>
      <c r="E554" s="191" t="s">
        <v>1374</v>
      </c>
      <c r="F554" s="190">
        <f>COUNTA(F536:F553)</f>
        <v>13</v>
      </c>
      <c r="G554" s="190">
        <f>COUNTA(G536:G553)</f>
        <v>5</v>
      </c>
      <c r="H554" s="298" t="s">
        <v>3</v>
      </c>
      <c r="I554" s="299"/>
      <c r="J554" s="115">
        <f t="shared" ref="J554:O554" si="29">COUNTA(J536:J553)</f>
        <v>12</v>
      </c>
      <c r="K554" s="115">
        <f t="shared" si="29"/>
        <v>3</v>
      </c>
      <c r="L554" s="115">
        <f t="shared" si="29"/>
        <v>2</v>
      </c>
      <c r="M554" s="115">
        <f t="shared" si="29"/>
        <v>0</v>
      </c>
      <c r="N554" s="115">
        <f t="shared" si="29"/>
        <v>1</v>
      </c>
      <c r="O554" s="116">
        <f t="shared" si="29"/>
        <v>1</v>
      </c>
      <c r="P554" s="108">
        <f>COUNTIF(P536:P553,TRUE)</f>
        <v>12</v>
      </c>
    </row>
    <row r="555" spans="1:16" x14ac:dyDescent="0.3">
      <c r="A555" s="119">
        <v>21</v>
      </c>
      <c r="B555" s="41" t="s">
        <v>1111</v>
      </c>
      <c r="C555" s="44">
        <v>1</v>
      </c>
      <c r="D555" s="150" t="s">
        <v>140</v>
      </c>
      <c r="E555" s="153" t="s">
        <v>1112</v>
      </c>
      <c r="F555" s="151" t="s">
        <v>52</v>
      </c>
      <c r="G555" s="168"/>
      <c r="H555" s="152" t="s">
        <v>417</v>
      </c>
      <c r="I555" s="153" t="s">
        <v>1151</v>
      </c>
      <c r="J555" s="218" t="s">
        <v>1383</v>
      </c>
      <c r="K555" s="218"/>
      <c r="L555" s="218"/>
      <c r="M555" s="219"/>
      <c r="N555" s="219"/>
      <c r="O555" s="220"/>
      <c r="P555" s="106" t="b">
        <f t="shared" si="28"/>
        <v>1</v>
      </c>
    </row>
    <row r="556" spans="1:16" x14ac:dyDescent="0.3">
      <c r="A556" s="124">
        <v>21</v>
      </c>
      <c r="B556" s="37" t="s">
        <v>1111</v>
      </c>
      <c r="C556" s="38">
        <v>2</v>
      </c>
      <c r="D556" s="125" t="s">
        <v>1088</v>
      </c>
      <c r="E556" s="123" t="s">
        <v>1113</v>
      </c>
      <c r="F556" s="131"/>
      <c r="G556" s="128" t="s">
        <v>53</v>
      </c>
      <c r="H556" s="154" t="s">
        <v>344</v>
      </c>
      <c r="I556" s="155" t="s">
        <v>345</v>
      </c>
      <c r="J556" s="212"/>
      <c r="K556" s="212"/>
      <c r="L556" s="212"/>
      <c r="M556" s="213"/>
      <c r="N556" s="213"/>
      <c r="O556" s="214"/>
      <c r="P556" s="106" t="b">
        <f t="shared" si="28"/>
        <v>0</v>
      </c>
    </row>
    <row r="557" spans="1:16" x14ac:dyDescent="0.3">
      <c r="A557" s="124">
        <v>21</v>
      </c>
      <c r="B557" s="37" t="s">
        <v>1111</v>
      </c>
      <c r="C557" s="38">
        <v>3</v>
      </c>
      <c r="D557" s="125" t="s">
        <v>1089</v>
      </c>
      <c r="E557" s="123" t="s">
        <v>1114</v>
      </c>
      <c r="F557" s="131"/>
      <c r="G557" s="128" t="s">
        <v>53</v>
      </c>
      <c r="H557" s="154" t="s">
        <v>344</v>
      </c>
      <c r="I557" s="155" t="s">
        <v>345</v>
      </c>
      <c r="J557" s="212"/>
      <c r="K557" s="212"/>
      <c r="L557" s="212"/>
      <c r="M557" s="213"/>
      <c r="N557" s="213"/>
      <c r="O557" s="214"/>
      <c r="P557" s="106" t="b">
        <f t="shared" si="28"/>
        <v>0</v>
      </c>
    </row>
    <row r="558" spans="1:16" x14ac:dyDescent="0.3">
      <c r="A558" s="124">
        <v>21</v>
      </c>
      <c r="B558" s="37" t="s">
        <v>1111</v>
      </c>
      <c r="C558" s="38">
        <v>4</v>
      </c>
      <c r="D558" s="125" t="s">
        <v>1090</v>
      </c>
      <c r="E558" s="123" t="s">
        <v>1115</v>
      </c>
      <c r="F558" s="131"/>
      <c r="G558" s="128" t="s">
        <v>53</v>
      </c>
      <c r="H558" s="154" t="s">
        <v>344</v>
      </c>
      <c r="I558" s="155" t="s">
        <v>345</v>
      </c>
      <c r="J558" s="212"/>
      <c r="K558" s="212"/>
      <c r="L558" s="212"/>
      <c r="M558" s="213"/>
      <c r="N558" s="213"/>
      <c r="O558" s="214"/>
      <c r="P558" s="106" t="b">
        <f t="shared" si="28"/>
        <v>0</v>
      </c>
    </row>
    <row r="559" spans="1:16" x14ac:dyDescent="0.3">
      <c r="A559" s="124">
        <v>21</v>
      </c>
      <c r="B559" s="37" t="s">
        <v>1111</v>
      </c>
      <c r="C559" s="38">
        <v>5</v>
      </c>
      <c r="D559" s="125" t="s">
        <v>1091</v>
      </c>
      <c r="E559" s="123" t="s">
        <v>1116</v>
      </c>
      <c r="F559" s="126" t="s">
        <v>52</v>
      </c>
      <c r="G559" s="131"/>
      <c r="H559" s="122" t="s">
        <v>343</v>
      </c>
      <c r="I559" s="123" t="s">
        <v>342</v>
      </c>
      <c r="J559" s="212" t="s">
        <v>1383</v>
      </c>
      <c r="K559" s="212"/>
      <c r="L559" s="212"/>
      <c r="M559" s="213"/>
      <c r="N559" s="213"/>
      <c r="O559" s="214"/>
      <c r="P559" s="106" t="b">
        <f t="shared" si="28"/>
        <v>1</v>
      </c>
    </row>
    <row r="560" spans="1:16" x14ac:dyDescent="0.3">
      <c r="A560" s="124">
        <v>21</v>
      </c>
      <c r="B560" s="37" t="s">
        <v>1111</v>
      </c>
      <c r="C560" s="38">
        <v>6</v>
      </c>
      <c r="D560" s="125" t="s">
        <v>1092</v>
      </c>
      <c r="E560" s="123" t="s">
        <v>1117</v>
      </c>
      <c r="F560" s="131"/>
      <c r="G560" s="128" t="s">
        <v>53</v>
      </c>
      <c r="H560" s="154" t="s">
        <v>344</v>
      </c>
      <c r="I560" s="155" t="s">
        <v>345</v>
      </c>
      <c r="J560" s="212"/>
      <c r="K560" s="212"/>
      <c r="L560" s="212"/>
      <c r="M560" s="213"/>
      <c r="N560" s="213"/>
      <c r="O560" s="214"/>
      <c r="P560" s="106" t="b">
        <f t="shared" si="28"/>
        <v>0</v>
      </c>
    </row>
    <row r="561" spans="1:16" x14ac:dyDescent="0.3">
      <c r="A561" s="124">
        <v>21</v>
      </c>
      <c r="B561" s="37" t="s">
        <v>1111</v>
      </c>
      <c r="C561" s="38">
        <v>7</v>
      </c>
      <c r="D561" s="125" t="s">
        <v>1093</v>
      </c>
      <c r="E561" s="123" t="s">
        <v>345</v>
      </c>
      <c r="F561" s="126" t="s">
        <v>52</v>
      </c>
      <c r="G561" s="131"/>
      <c r="H561" s="122" t="s">
        <v>415</v>
      </c>
      <c r="I561" s="123" t="s">
        <v>414</v>
      </c>
      <c r="J561" s="212" t="s">
        <v>1383</v>
      </c>
      <c r="K561" s="212"/>
      <c r="L561" s="212"/>
      <c r="M561" s="213"/>
      <c r="N561" s="212" t="s">
        <v>1383</v>
      </c>
      <c r="O561" s="214"/>
      <c r="P561" s="106" t="b">
        <f t="shared" si="28"/>
        <v>1</v>
      </c>
    </row>
    <row r="562" spans="1:16" x14ac:dyDescent="0.3">
      <c r="A562" s="124">
        <v>21</v>
      </c>
      <c r="B562" s="37" t="s">
        <v>1111</v>
      </c>
      <c r="C562" s="38">
        <v>8</v>
      </c>
      <c r="D562" s="125" t="s">
        <v>1094</v>
      </c>
      <c r="E562" s="123" t="s">
        <v>1118</v>
      </c>
      <c r="F562" s="126" t="s">
        <v>52</v>
      </c>
      <c r="G562" s="131"/>
      <c r="H562" s="122" t="s">
        <v>343</v>
      </c>
      <c r="I562" s="123" t="s">
        <v>342</v>
      </c>
      <c r="J562" s="212" t="s">
        <v>1383</v>
      </c>
      <c r="K562" s="212"/>
      <c r="L562" s="212"/>
      <c r="M562" s="213"/>
      <c r="N562" s="213"/>
      <c r="O562" s="214"/>
      <c r="P562" s="106" t="b">
        <f t="shared" si="28"/>
        <v>1</v>
      </c>
    </row>
    <row r="563" spans="1:16" x14ac:dyDescent="0.3">
      <c r="A563" s="124">
        <v>21</v>
      </c>
      <c r="B563" s="37" t="s">
        <v>1111</v>
      </c>
      <c r="C563" s="38">
        <v>9</v>
      </c>
      <c r="D563" s="125" t="s">
        <v>1095</v>
      </c>
      <c r="E563" s="123" t="s">
        <v>1119</v>
      </c>
      <c r="F563" s="126" t="s">
        <v>52</v>
      </c>
      <c r="G563" s="131"/>
      <c r="H563" s="122" t="s">
        <v>343</v>
      </c>
      <c r="I563" s="123" t="s">
        <v>342</v>
      </c>
      <c r="J563" s="212" t="s">
        <v>1383</v>
      </c>
      <c r="K563" s="212"/>
      <c r="L563" s="212"/>
      <c r="M563" s="213"/>
      <c r="N563" s="213"/>
      <c r="O563" s="214"/>
      <c r="P563" s="106" t="b">
        <f t="shared" si="28"/>
        <v>1</v>
      </c>
    </row>
    <row r="564" spans="1:16" x14ac:dyDescent="0.3">
      <c r="A564" s="124">
        <v>21</v>
      </c>
      <c r="B564" s="37" t="s">
        <v>1111</v>
      </c>
      <c r="C564" s="38">
        <v>10</v>
      </c>
      <c r="D564" s="125" t="s">
        <v>823</v>
      </c>
      <c r="E564" s="123" t="s">
        <v>1120</v>
      </c>
      <c r="F564" s="131"/>
      <c r="G564" s="128" t="s">
        <v>53</v>
      </c>
      <c r="H564" s="154" t="s">
        <v>344</v>
      </c>
      <c r="I564" s="155" t="s">
        <v>345</v>
      </c>
      <c r="J564" s="212"/>
      <c r="K564" s="212"/>
      <c r="L564" s="212"/>
      <c r="M564" s="213"/>
      <c r="N564" s="213"/>
      <c r="O564" s="214"/>
      <c r="P564" s="106" t="b">
        <f t="shared" si="28"/>
        <v>0</v>
      </c>
    </row>
    <row r="565" spans="1:16" x14ac:dyDescent="0.3">
      <c r="A565" s="124">
        <v>21</v>
      </c>
      <c r="B565" s="37" t="s">
        <v>1111</v>
      </c>
      <c r="C565" s="38">
        <v>11</v>
      </c>
      <c r="D565" s="125" t="s">
        <v>1096</v>
      </c>
      <c r="E565" s="123" t="s">
        <v>1121</v>
      </c>
      <c r="F565" s="126" t="s">
        <v>52</v>
      </c>
      <c r="G565" s="131"/>
      <c r="H565" s="122" t="s">
        <v>1424</v>
      </c>
      <c r="I565" s="123" t="s">
        <v>1131</v>
      </c>
      <c r="J565" s="212" t="s">
        <v>1383</v>
      </c>
      <c r="K565" s="212"/>
      <c r="L565" s="212"/>
      <c r="M565" s="213"/>
      <c r="N565" s="213"/>
      <c r="O565" s="214"/>
      <c r="P565" s="106" t="b">
        <f t="shared" si="28"/>
        <v>1</v>
      </c>
    </row>
    <row r="566" spans="1:16" x14ac:dyDescent="0.3">
      <c r="A566" s="124">
        <v>21</v>
      </c>
      <c r="B566" s="37" t="s">
        <v>1111</v>
      </c>
      <c r="C566" s="38">
        <v>12</v>
      </c>
      <c r="D566" s="125" t="s">
        <v>1097</v>
      </c>
      <c r="E566" s="123" t="s">
        <v>1122</v>
      </c>
      <c r="F566" s="131"/>
      <c r="G566" s="128" t="s">
        <v>53</v>
      </c>
      <c r="H566" s="122" t="s">
        <v>344</v>
      </c>
      <c r="I566" s="123" t="s">
        <v>345</v>
      </c>
      <c r="J566" s="212"/>
      <c r="K566" s="212"/>
      <c r="L566" s="212"/>
      <c r="M566" s="213"/>
      <c r="N566" s="213"/>
      <c r="O566" s="214"/>
      <c r="P566" s="106" t="b">
        <f t="shared" si="28"/>
        <v>0</v>
      </c>
    </row>
    <row r="567" spans="1:16" x14ac:dyDescent="0.3">
      <c r="A567" s="124">
        <v>21</v>
      </c>
      <c r="B567" s="37" t="s">
        <v>1111</v>
      </c>
      <c r="C567" s="38">
        <v>13</v>
      </c>
      <c r="D567" s="125" t="s">
        <v>1098</v>
      </c>
      <c r="E567" s="123" t="s">
        <v>1123</v>
      </c>
      <c r="F567" s="126" t="s">
        <v>52</v>
      </c>
      <c r="G567" s="131"/>
      <c r="H567" s="122" t="s">
        <v>343</v>
      </c>
      <c r="I567" s="123" t="s">
        <v>342</v>
      </c>
      <c r="J567" s="212"/>
      <c r="K567" s="212"/>
      <c r="L567" s="212"/>
      <c r="M567" s="213"/>
      <c r="N567" s="213"/>
      <c r="O567" s="214"/>
      <c r="P567" s="106" t="b">
        <f t="shared" si="28"/>
        <v>0</v>
      </c>
    </row>
    <row r="568" spans="1:16" x14ac:dyDescent="0.3">
      <c r="A568" s="124">
        <v>21</v>
      </c>
      <c r="B568" s="37" t="s">
        <v>1111</v>
      </c>
      <c r="C568" s="38">
        <v>14</v>
      </c>
      <c r="D568" s="125" t="s">
        <v>156</v>
      </c>
      <c r="E568" s="123" t="s">
        <v>1124</v>
      </c>
      <c r="F568" s="126" t="s">
        <v>52</v>
      </c>
      <c r="G568" s="131"/>
      <c r="H568" s="122" t="s">
        <v>1152</v>
      </c>
      <c r="I568" s="123" t="s">
        <v>1132</v>
      </c>
      <c r="J568" s="212" t="s">
        <v>1383</v>
      </c>
      <c r="K568" s="212"/>
      <c r="L568" s="212"/>
      <c r="M568" s="213"/>
      <c r="N568" s="213"/>
      <c r="O568" s="214"/>
      <c r="P568" s="106" t="b">
        <f t="shared" si="28"/>
        <v>1</v>
      </c>
    </row>
    <row r="569" spans="1:16" x14ac:dyDescent="0.3">
      <c r="A569" s="124">
        <v>21</v>
      </c>
      <c r="B569" s="37" t="s">
        <v>1111</v>
      </c>
      <c r="C569" s="38">
        <v>15</v>
      </c>
      <c r="D569" s="125" t="s">
        <v>1099</v>
      </c>
      <c r="E569" s="123" t="s">
        <v>1125</v>
      </c>
      <c r="F569" s="131"/>
      <c r="G569" s="128" t="s">
        <v>53</v>
      </c>
      <c r="H569" s="154" t="s">
        <v>344</v>
      </c>
      <c r="I569" s="155" t="s">
        <v>345</v>
      </c>
      <c r="J569" s="212"/>
      <c r="K569" s="212"/>
      <c r="L569" s="212"/>
      <c r="M569" s="213"/>
      <c r="N569" s="213"/>
      <c r="O569" s="214"/>
      <c r="P569" s="106" t="b">
        <f t="shared" si="28"/>
        <v>0</v>
      </c>
    </row>
    <row r="570" spans="1:16" x14ac:dyDescent="0.3">
      <c r="A570" s="124">
        <v>21</v>
      </c>
      <c r="B570" s="37" t="s">
        <v>1111</v>
      </c>
      <c r="C570" s="38">
        <v>16</v>
      </c>
      <c r="D570" s="125" t="s">
        <v>1100</v>
      </c>
      <c r="E570" s="123" t="s">
        <v>1126</v>
      </c>
      <c r="F570" s="131"/>
      <c r="G570" s="128" t="s">
        <v>53</v>
      </c>
      <c r="H570" s="154" t="s">
        <v>344</v>
      </c>
      <c r="I570" s="155" t="s">
        <v>345</v>
      </c>
      <c r="J570" s="212"/>
      <c r="K570" s="212"/>
      <c r="L570" s="212"/>
      <c r="M570" s="213"/>
      <c r="N570" s="213"/>
      <c r="O570" s="214"/>
      <c r="P570" s="106" t="b">
        <f t="shared" si="28"/>
        <v>0</v>
      </c>
    </row>
    <row r="571" spans="1:16" x14ac:dyDescent="0.3">
      <c r="A571" s="124">
        <v>21</v>
      </c>
      <c r="B571" s="37" t="s">
        <v>1111</v>
      </c>
      <c r="C571" s="38">
        <v>17</v>
      </c>
      <c r="D571" s="125" t="s">
        <v>43</v>
      </c>
      <c r="E571" s="123" t="s">
        <v>1127</v>
      </c>
      <c r="F571" s="126" t="s">
        <v>52</v>
      </c>
      <c r="G571" s="131"/>
      <c r="H571" s="122" t="s">
        <v>1152</v>
      </c>
      <c r="I571" s="123" t="s">
        <v>1132</v>
      </c>
      <c r="J571" s="212" t="s">
        <v>1383</v>
      </c>
      <c r="K571" s="212"/>
      <c r="L571" s="212"/>
      <c r="M571" s="213"/>
      <c r="N571" s="213"/>
      <c r="O571" s="214" t="s">
        <v>1383</v>
      </c>
      <c r="P571" s="106" t="b">
        <f t="shared" si="28"/>
        <v>1</v>
      </c>
    </row>
    <row r="572" spans="1:16" x14ac:dyDescent="0.3">
      <c r="A572" s="124">
        <v>21</v>
      </c>
      <c r="B572" s="37" t="s">
        <v>1111</v>
      </c>
      <c r="C572" s="38">
        <v>18</v>
      </c>
      <c r="D572" s="125" t="s">
        <v>1101</v>
      </c>
      <c r="E572" s="123" t="s">
        <v>1128</v>
      </c>
      <c r="F572" s="131"/>
      <c r="G572" s="128" t="s">
        <v>53</v>
      </c>
      <c r="H572" s="154" t="s">
        <v>344</v>
      </c>
      <c r="I572" s="155" t="s">
        <v>345</v>
      </c>
      <c r="J572" s="212"/>
      <c r="K572" s="212"/>
      <c r="L572" s="212"/>
      <c r="M572" s="213"/>
      <c r="N572" s="213"/>
      <c r="O572" s="214"/>
      <c r="P572" s="106" t="b">
        <f t="shared" si="28"/>
        <v>0</v>
      </c>
    </row>
    <row r="573" spans="1:16" x14ac:dyDescent="0.3">
      <c r="A573" s="124">
        <v>21</v>
      </c>
      <c r="B573" s="37" t="s">
        <v>1111</v>
      </c>
      <c r="C573" s="38">
        <v>19</v>
      </c>
      <c r="D573" s="125" t="s">
        <v>1102</v>
      </c>
      <c r="E573" s="123" t="s">
        <v>1129</v>
      </c>
      <c r="F573" s="126" t="s">
        <v>52</v>
      </c>
      <c r="G573" s="131"/>
      <c r="H573" s="122" t="s">
        <v>344</v>
      </c>
      <c r="I573" s="123" t="s">
        <v>345</v>
      </c>
      <c r="J573" s="212" t="s">
        <v>1383</v>
      </c>
      <c r="K573" s="212"/>
      <c r="L573" s="212"/>
      <c r="M573" s="213"/>
      <c r="N573" s="213"/>
      <c r="O573" s="214"/>
      <c r="P573" s="106" t="b">
        <f t="shared" si="28"/>
        <v>1</v>
      </c>
    </row>
    <row r="574" spans="1:16" x14ac:dyDescent="0.3">
      <c r="A574" s="124">
        <v>21</v>
      </c>
      <c r="B574" s="37" t="s">
        <v>1111</v>
      </c>
      <c r="C574" s="38">
        <v>20</v>
      </c>
      <c r="D574" s="125" t="s">
        <v>1103</v>
      </c>
      <c r="E574" s="123" t="s">
        <v>1130</v>
      </c>
      <c r="F574" s="126" t="s">
        <v>52</v>
      </c>
      <c r="G574" s="131"/>
      <c r="H574" s="122" t="s">
        <v>1152</v>
      </c>
      <c r="I574" s="123" t="s">
        <v>1132</v>
      </c>
      <c r="J574" s="212" t="s">
        <v>1383</v>
      </c>
      <c r="K574" s="212"/>
      <c r="L574" s="212"/>
      <c r="M574" s="213"/>
      <c r="N574" s="213"/>
      <c r="O574" s="214"/>
      <c r="P574" s="106" t="b">
        <f t="shared" si="28"/>
        <v>1</v>
      </c>
    </row>
    <row r="575" spans="1:16" x14ac:dyDescent="0.3">
      <c r="A575" s="124">
        <v>21</v>
      </c>
      <c r="B575" s="37" t="s">
        <v>1111</v>
      </c>
      <c r="C575" s="38">
        <v>21</v>
      </c>
      <c r="D575" s="125" t="s">
        <v>47</v>
      </c>
      <c r="E575" s="123" t="s">
        <v>1131</v>
      </c>
      <c r="F575" s="126" t="s">
        <v>52</v>
      </c>
      <c r="G575" s="131"/>
      <c r="H575" s="122" t="s">
        <v>344</v>
      </c>
      <c r="I575" s="123" t="s">
        <v>345</v>
      </c>
      <c r="J575" s="212" t="s">
        <v>1383</v>
      </c>
      <c r="K575" s="212" t="s">
        <v>1383</v>
      </c>
      <c r="L575" s="212"/>
      <c r="M575" s="213"/>
      <c r="N575" s="213"/>
      <c r="O575" s="214"/>
      <c r="P575" s="106" t="b">
        <f t="shared" si="28"/>
        <v>1</v>
      </c>
    </row>
    <row r="576" spans="1:16" x14ac:dyDescent="0.3">
      <c r="A576" s="124">
        <v>21</v>
      </c>
      <c r="B576" s="37" t="s">
        <v>1111</v>
      </c>
      <c r="C576" s="38">
        <v>22</v>
      </c>
      <c r="D576" s="125" t="s">
        <v>1104</v>
      </c>
      <c r="E576" s="123" t="s">
        <v>1132</v>
      </c>
      <c r="F576" s="126" t="s">
        <v>52</v>
      </c>
      <c r="G576" s="131"/>
      <c r="H576" s="122" t="s">
        <v>1424</v>
      </c>
      <c r="I576" s="123" t="s">
        <v>1131</v>
      </c>
      <c r="J576" s="212" t="s">
        <v>1383</v>
      </c>
      <c r="K576" s="212"/>
      <c r="L576" s="212"/>
      <c r="M576" s="213"/>
      <c r="N576" s="213"/>
      <c r="O576" s="214"/>
      <c r="P576" s="106" t="b">
        <f t="shared" si="28"/>
        <v>1</v>
      </c>
    </row>
    <row r="577" spans="1:16" x14ac:dyDescent="0.3">
      <c r="A577" s="124">
        <v>21</v>
      </c>
      <c r="B577" s="37" t="s">
        <v>1111</v>
      </c>
      <c r="C577" s="38">
        <v>23</v>
      </c>
      <c r="D577" s="125" t="s">
        <v>1105</v>
      </c>
      <c r="E577" s="123" t="s">
        <v>1133</v>
      </c>
      <c r="F577" s="126" t="s">
        <v>52</v>
      </c>
      <c r="G577" s="131"/>
      <c r="H577" s="122" t="s">
        <v>343</v>
      </c>
      <c r="I577" s="123" t="s">
        <v>342</v>
      </c>
      <c r="J577" s="212" t="s">
        <v>1383</v>
      </c>
      <c r="K577" s="212"/>
      <c r="L577" s="212"/>
      <c r="M577" s="213"/>
      <c r="N577" s="213"/>
      <c r="O577" s="214"/>
      <c r="P577" s="106" t="b">
        <f t="shared" si="28"/>
        <v>1</v>
      </c>
    </row>
    <row r="578" spans="1:16" x14ac:dyDescent="0.3">
      <c r="A578" s="124">
        <v>21</v>
      </c>
      <c r="B578" s="37" t="s">
        <v>1111</v>
      </c>
      <c r="C578" s="38">
        <v>24</v>
      </c>
      <c r="D578" s="125" t="s">
        <v>1106</v>
      </c>
      <c r="E578" s="123" t="s">
        <v>1134</v>
      </c>
      <c r="F578" s="126" t="s">
        <v>52</v>
      </c>
      <c r="G578" s="131"/>
      <c r="H578" s="122" t="s">
        <v>1424</v>
      </c>
      <c r="I578" s="123" t="s">
        <v>1131</v>
      </c>
      <c r="J578" s="212" t="s">
        <v>1383</v>
      </c>
      <c r="K578" s="212"/>
      <c r="L578" s="212"/>
      <c r="M578" s="213"/>
      <c r="N578" s="213"/>
      <c r="O578" s="214"/>
      <c r="P578" s="106" t="b">
        <f t="shared" si="28"/>
        <v>1</v>
      </c>
    </row>
    <row r="579" spans="1:16" x14ac:dyDescent="0.3">
      <c r="A579" s="124">
        <v>21</v>
      </c>
      <c r="B579" s="37" t="s">
        <v>1111</v>
      </c>
      <c r="C579" s="38">
        <v>25</v>
      </c>
      <c r="D579" s="125" t="s">
        <v>1107</v>
      </c>
      <c r="E579" s="123" t="s">
        <v>1135</v>
      </c>
      <c r="F579" s="126" t="s">
        <v>52</v>
      </c>
      <c r="G579" s="131"/>
      <c r="H579" s="122" t="s">
        <v>1424</v>
      </c>
      <c r="I579" s="123" t="s">
        <v>1131</v>
      </c>
      <c r="J579" s="212"/>
      <c r="K579" s="212"/>
      <c r="L579" s="212"/>
      <c r="M579" s="213"/>
      <c r="N579" s="213"/>
      <c r="O579" s="214"/>
      <c r="P579" s="106" t="b">
        <f t="shared" si="28"/>
        <v>0</v>
      </c>
    </row>
    <row r="580" spans="1:16" x14ac:dyDescent="0.3">
      <c r="A580" s="124">
        <v>21</v>
      </c>
      <c r="B580" s="37" t="s">
        <v>1111</v>
      </c>
      <c r="C580" s="38">
        <v>26</v>
      </c>
      <c r="D580" s="125" t="s">
        <v>1108</v>
      </c>
      <c r="E580" s="123" t="s">
        <v>1136</v>
      </c>
      <c r="F580" s="126" t="s">
        <v>52</v>
      </c>
      <c r="G580" s="131"/>
      <c r="H580" s="122" t="s">
        <v>343</v>
      </c>
      <c r="I580" s="123" t="s">
        <v>342</v>
      </c>
      <c r="J580" s="212"/>
      <c r="K580" s="212"/>
      <c r="L580" s="212"/>
      <c r="M580" s="213"/>
      <c r="N580" s="213"/>
      <c r="O580" s="214"/>
      <c r="P580" s="106" t="b">
        <f t="shared" si="28"/>
        <v>0</v>
      </c>
    </row>
    <row r="581" spans="1:16" x14ac:dyDescent="0.3">
      <c r="A581" s="124">
        <v>21</v>
      </c>
      <c r="B581" s="37" t="s">
        <v>1111</v>
      </c>
      <c r="C581" s="38">
        <v>27</v>
      </c>
      <c r="D581" s="125" t="s">
        <v>1109</v>
      </c>
      <c r="E581" s="123" t="s">
        <v>1137</v>
      </c>
      <c r="F581" s="131"/>
      <c r="G581" s="128" t="s">
        <v>53</v>
      </c>
      <c r="H581" s="154" t="s">
        <v>344</v>
      </c>
      <c r="I581" s="155" t="s">
        <v>345</v>
      </c>
      <c r="J581" s="212"/>
      <c r="K581" s="212"/>
      <c r="L581" s="212"/>
      <c r="M581" s="213"/>
      <c r="N581" s="213"/>
      <c r="O581" s="214"/>
      <c r="P581" s="106" t="b">
        <f t="shared" si="28"/>
        <v>0</v>
      </c>
    </row>
    <row r="582" spans="1:16" ht="19.5" thickBot="1" x14ac:dyDescent="0.35">
      <c r="A582" s="132">
        <v>21</v>
      </c>
      <c r="B582" s="39" t="s">
        <v>1111</v>
      </c>
      <c r="C582" s="45">
        <v>28</v>
      </c>
      <c r="D582" s="156" t="s">
        <v>1110</v>
      </c>
      <c r="E582" s="159" t="s">
        <v>1138</v>
      </c>
      <c r="F582" s="174"/>
      <c r="G582" s="135" t="s">
        <v>53</v>
      </c>
      <c r="H582" s="175" t="s">
        <v>344</v>
      </c>
      <c r="I582" s="176" t="s">
        <v>345</v>
      </c>
      <c r="J582" s="221"/>
      <c r="K582" s="221"/>
      <c r="L582" s="221"/>
      <c r="M582" s="222"/>
      <c r="N582" s="222"/>
      <c r="O582" s="223"/>
      <c r="P582" s="106" t="b">
        <f t="shared" si="28"/>
        <v>0</v>
      </c>
    </row>
    <row r="583" spans="1:16" ht="19.5" hidden="1" thickBot="1" x14ac:dyDescent="0.3">
      <c r="A583" s="182">
        <v>21</v>
      </c>
      <c r="B583" s="34" t="s">
        <v>56</v>
      </c>
      <c r="C583" s="21">
        <f>COUNTA(C555:C582)</f>
        <v>28</v>
      </c>
      <c r="D583" s="49" t="s">
        <v>1</v>
      </c>
      <c r="E583" s="49" t="s">
        <v>1374</v>
      </c>
      <c r="F583" s="21">
        <f>COUNTA(F555:F582)</f>
        <v>17</v>
      </c>
      <c r="G583" s="21">
        <f>COUNTA(G555:G582)</f>
        <v>11</v>
      </c>
      <c r="H583" s="300" t="s">
        <v>3</v>
      </c>
      <c r="I583" s="301"/>
      <c r="J583" s="111">
        <f t="shared" ref="J583:O583" si="30">COUNTA(J555:J582)</f>
        <v>14</v>
      </c>
      <c r="K583" s="111">
        <f t="shared" si="30"/>
        <v>1</v>
      </c>
      <c r="L583" s="111">
        <f t="shared" si="30"/>
        <v>0</v>
      </c>
      <c r="M583" s="111">
        <f t="shared" si="30"/>
        <v>0</v>
      </c>
      <c r="N583" s="111">
        <f t="shared" si="30"/>
        <v>1</v>
      </c>
      <c r="O583" s="112">
        <f t="shared" si="30"/>
        <v>1</v>
      </c>
      <c r="P583" s="108">
        <f>COUNTIF(P555:P582,TRUE)</f>
        <v>14</v>
      </c>
    </row>
    <row r="584" spans="1:16" x14ac:dyDescent="0.3">
      <c r="A584" s="124">
        <v>22</v>
      </c>
      <c r="B584" s="37" t="s">
        <v>1150</v>
      </c>
      <c r="C584" s="38">
        <v>1</v>
      </c>
      <c r="D584" s="166" t="s">
        <v>1139</v>
      </c>
      <c r="E584" s="123" t="s">
        <v>1153</v>
      </c>
      <c r="F584" s="126" t="s">
        <v>52</v>
      </c>
      <c r="G584" s="131"/>
      <c r="H584" s="122" t="s">
        <v>262</v>
      </c>
      <c r="I584" s="123" t="s">
        <v>580</v>
      </c>
      <c r="J584" s="212" t="s">
        <v>1383</v>
      </c>
      <c r="K584" s="212"/>
      <c r="L584" s="212"/>
      <c r="M584" s="213"/>
      <c r="N584" s="213"/>
      <c r="O584" s="214"/>
      <c r="P584" s="106" t="b">
        <f t="shared" ref="P584:P647" si="31">IF(COUNTA(J584:O584)=0,FALSE,TRUE)</f>
        <v>1</v>
      </c>
    </row>
    <row r="585" spans="1:16" x14ac:dyDescent="0.3">
      <c r="A585" s="124">
        <v>22</v>
      </c>
      <c r="B585" s="37" t="s">
        <v>1150</v>
      </c>
      <c r="C585" s="38">
        <v>2</v>
      </c>
      <c r="D585" s="125" t="s">
        <v>995</v>
      </c>
      <c r="E585" s="123" t="s">
        <v>1154</v>
      </c>
      <c r="F585" s="126" t="s">
        <v>52</v>
      </c>
      <c r="G585" s="131"/>
      <c r="H585" s="122" t="s">
        <v>170</v>
      </c>
      <c r="I585" s="123" t="s">
        <v>265</v>
      </c>
      <c r="J585" s="212"/>
      <c r="K585" s="212"/>
      <c r="L585" s="212"/>
      <c r="M585" s="213"/>
      <c r="N585" s="213"/>
      <c r="O585" s="214"/>
      <c r="P585" s="106" t="b">
        <f t="shared" si="31"/>
        <v>0</v>
      </c>
    </row>
    <row r="586" spans="1:16" x14ac:dyDescent="0.3">
      <c r="A586" s="124">
        <v>22</v>
      </c>
      <c r="B586" s="37" t="s">
        <v>1150</v>
      </c>
      <c r="C586" s="38">
        <v>3</v>
      </c>
      <c r="D586" s="125" t="s">
        <v>1140</v>
      </c>
      <c r="E586" s="123" t="s">
        <v>1155</v>
      </c>
      <c r="F586" s="126" t="s">
        <v>52</v>
      </c>
      <c r="G586" s="128"/>
      <c r="H586" s="122" t="s">
        <v>262</v>
      </c>
      <c r="I586" s="123" t="s">
        <v>580</v>
      </c>
      <c r="J586" s="212"/>
      <c r="K586" s="212"/>
      <c r="L586" s="212"/>
      <c r="M586" s="213"/>
      <c r="N586" s="213"/>
      <c r="O586" s="214"/>
      <c r="P586" s="106" t="b">
        <f t="shared" si="31"/>
        <v>0</v>
      </c>
    </row>
    <row r="587" spans="1:16" x14ac:dyDescent="0.3">
      <c r="A587" s="124">
        <v>22</v>
      </c>
      <c r="B587" s="37" t="s">
        <v>1150</v>
      </c>
      <c r="C587" s="38">
        <v>4</v>
      </c>
      <c r="D587" s="125" t="s">
        <v>1141</v>
      </c>
      <c r="E587" s="123" t="s">
        <v>1156</v>
      </c>
      <c r="F587" s="131"/>
      <c r="G587" s="128" t="s">
        <v>53</v>
      </c>
      <c r="H587" s="154" t="s">
        <v>1172</v>
      </c>
      <c r="I587" s="155" t="s">
        <v>1171</v>
      </c>
      <c r="J587" s="212"/>
      <c r="K587" s="212"/>
      <c r="L587" s="212"/>
      <c r="M587" s="213"/>
      <c r="N587" s="213"/>
      <c r="O587" s="214"/>
      <c r="P587" s="106" t="b">
        <f t="shared" si="31"/>
        <v>0</v>
      </c>
    </row>
    <row r="588" spans="1:16" x14ac:dyDescent="0.3">
      <c r="A588" s="124">
        <v>22</v>
      </c>
      <c r="B588" s="37" t="s">
        <v>1150</v>
      </c>
      <c r="C588" s="38">
        <v>5</v>
      </c>
      <c r="D588" s="125" t="s">
        <v>67</v>
      </c>
      <c r="E588" s="123" t="s">
        <v>1157</v>
      </c>
      <c r="F588" s="126" t="s">
        <v>52</v>
      </c>
      <c r="G588" s="128"/>
      <c r="H588" s="122" t="s">
        <v>262</v>
      </c>
      <c r="I588" s="123" t="s">
        <v>580</v>
      </c>
      <c r="J588" s="212"/>
      <c r="K588" s="212"/>
      <c r="L588" s="212"/>
      <c r="M588" s="213"/>
      <c r="N588" s="213"/>
      <c r="O588" s="214"/>
      <c r="P588" s="106" t="b">
        <f t="shared" si="31"/>
        <v>0</v>
      </c>
    </row>
    <row r="589" spans="1:16" x14ac:dyDescent="0.3">
      <c r="A589" s="124">
        <v>22</v>
      </c>
      <c r="B589" s="37" t="s">
        <v>1150</v>
      </c>
      <c r="C589" s="38">
        <v>6</v>
      </c>
      <c r="D589" s="125" t="s">
        <v>1142</v>
      </c>
      <c r="E589" s="123" t="s">
        <v>1158</v>
      </c>
      <c r="F589" s="126" t="s">
        <v>52</v>
      </c>
      <c r="G589" s="131"/>
      <c r="H589" s="122" t="s">
        <v>262</v>
      </c>
      <c r="I589" s="123" t="s">
        <v>580</v>
      </c>
      <c r="J589" s="212" t="s">
        <v>1383</v>
      </c>
      <c r="K589" s="212"/>
      <c r="L589" s="212"/>
      <c r="M589" s="213"/>
      <c r="N589" s="213"/>
      <c r="O589" s="214"/>
      <c r="P589" s="106" t="b">
        <f t="shared" si="31"/>
        <v>1</v>
      </c>
    </row>
    <row r="590" spans="1:16" x14ac:dyDescent="0.3">
      <c r="A590" s="124">
        <v>22</v>
      </c>
      <c r="B590" s="37" t="s">
        <v>1150</v>
      </c>
      <c r="C590" s="38">
        <v>7</v>
      </c>
      <c r="D590" s="125" t="s">
        <v>493</v>
      </c>
      <c r="E590" s="123" t="s">
        <v>1159</v>
      </c>
      <c r="F590" s="126" t="s">
        <v>52</v>
      </c>
      <c r="G590" s="131"/>
      <c r="H590" s="122" t="s">
        <v>170</v>
      </c>
      <c r="I590" s="123" t="s">
        <v>265</v>
      </c>
      <c r="J590" s="212" t="s">
        <v>1383</v>
      </c>
      <c r="K590" s="212"/>
      <c r="L590" s="212"/>
      <c r="M590" s="213"/>
      <c r="N590" s="213"/>
      <c r="O590" s="214"/>
      <c r="P590" s="106" t="b">
        <f t="shared" si="31"/>
        <v>1</v>
      </c>
    </row>
    <row r="591" spans="1:16" x14ac:dyDescent="0.3">
      <c r="A591" s="124">
        <v>22</v>
      </c>
      <c r="B591" s="37" t="s">
        <v>1150</v>
      </c>
      <c r="C591" s="38">
        <v>8</v>
      </c>
      <c r="D591" s="125" t="s">
        <v>34</v>
      </c>
      <c r="E591" s="123" t="s">
        <v>1160</v>
      </c>
      <c r="F591" s="126" t="s">
        <v>52</v>
      </c>
      <c r="G591" s="128"/>
      <c r="H591" s="122" t="s">
        <v>262</v>
      </c>
      <c r="I591" s="123" t="s">
        <v>580</v>
      </c>
      <c r="J591" s="212"/>
      <c r="K591" s="212"/>
      <c r="L591" s="212"/>
      <c r="M591" s="213"/>
      <c r="N591" s="213"/>
      <c r="O591" s="214"/>
      <c r="P591" s="106" t="b">
        <f t="shared" si="31"/>
        <v>0</v>
      </c>
    </row>
    <row r="592" spans="1:16" x14ac:dyDescent="0.3">
      <c r="A592" s="124">
        <v>22</v>
      </c>
      <c r="B592" s="37" t="s">
        <v>1150</v>
      </c>
      <c r="C592" s="38">
        <v>9</v>
      </c>
      <c r="D592" s="125" t="s">
        <v>1143</v>
      </c>
      <c r="E592" s="123" t="s">
        <v>1161</v>
      </c>
      <c r="F592" s="126" t="s">
        <v>52</v>
      </c>
      <c r="G592" s="128"/>
      <c r="H592" s="122" t="s">
        <v>1172</v>
      </c>
      <c r="I592" s="123" t="s">
        <v>1171</v>
      </c>
      <c r="J592" s="212"/>
      <c r="K592" s="212"/>
      <c r="L592" s="212"/>
      <c r="M592" s="213"/>
      <c r="N592" s="213"/>
      <c r="O592" s="214"/>
      <c r="P592" s="106" t="b">
        <f t="shared" si="31"/>
        <v>0</v>
      </c>
    </row>
    <row r="593" spans="1:16" x14ac:dyDescent="0.3">
      <c r="A593" s="124">
        <v>22</v>
      </c>
      <c r="B593" s="37" t="s">
        <v>1150</v>
      </c>
      <c r="C593" s="38">
        <v>10</v>
      </c>
      <c r="D593" s="125" t="s">
        <v>1144</v>
      </c>
      <c r="E593" s="123" t="s">
        <v>1162</v>
      </c>
      <c r="F593" s="126" t="s">
        <v>52</v>
      </c>
      <c r="G593" s="128"/>
      <c r="H593" s="122" t="s">
        <v>258</v>
      </c>
      <c r="I593" s="123" t="s">
        <v>213</v>
      </c>
      <c r="J593" s="212"/>
      <c r="K593" s="212"/>
      <c r="L593" s="212"/>
      <c r="M593" s="213"/>
      <c r="N593" s="213"/>
      <c r="O593" s="214"/>
      <c r="P593" s="106" t="b">
        <f t="shared" si="31"/>
        <v>0</v>
      </c>
    </row>
    <row r="594" spans="1:16" x14ac:dyDescent="0.3">
      <c r="A594" s="124">
        <v>22</v>
      </c>
      <c r="B594" s="37" t="s">
        <v>1150</v>
      </c>
      <c r="C594" s="38">
        <v>11</v>
      </c>
      <c r="D594" s="125" t="s">
        <v>1145</v>
      </c>
      <c r="E594" s="123" t="s">
        <v>1163</v>
      </c>
      <c r="F594" s="126" t="s">
        <v>52</v>
      </c>
      <c r="G594" s="131"/>
      <c r="H594" s="122" t="s">
        <v>262</v>
      </c>
      <c r="I594" s="123" t="s">
        <v>580</v>
      </c>
      <c r="J594" s="212"/>
      <c r="K594" s="212"/>
      <c r="L594" s="212"/>
      <c r="M594" s="213"/>
      <c r="N594" s="213"/>
      <c r="O594" s="214"/>
      <c r="P594" s="106" t="b">
        <f t="shared" si="31"/>
        <v>0</v>
      </c>
    </row>
    <row r="595" spans="1:16" x14ac:dyDescent="0.3">
      <c r="A595" s="124">
        <v>22</v>
      </c>
      <c r="B595" s="37" t="s">
        <v>1150</v>
      </c>
      <c r="C595" s="38">
        <v>12</v>
      </c>
      <c r="D595" s="125" t="s">
        <v>43</v>
      </c>
      <c r="E595" s="123" t="s">
        <v>1164</v>
      </c>
      <c r="F595" s="126" t="s">
        <v>52</v>
      </c>
      <c r="G595" s="131"/>
      <c r="H595" s="122" t="s">
        <v>262</v>
      </c>
      <c r="I595" s="123" t="s">
        <v>580</v>
      </c>
      <c r="J595" s="212" t="s">
        <v>1383</v>
      </c>
      <c r="K595" s="212"/>
      <c r="L595" s="212"/>
      <c r="M595" s="213"/>
      <c r="N595" s="213"/>
      <c r="O595" s="214"/>
      <c r="P595" s="106" t="b">
        <f t="shared" si="31"/>
        <v>1</v>
      </c>
    </row>
    <row r="596" spans="1:16" x14ac:dyDescent="0.3">
      <c r="A596" s="124">
        <v>22</v>
      </c>
      <c r="B596" s="37" t="s">
        <v>1150</v>
      </c>
      <c r="C596" s="38">
        <v>13</v>
      </c>
      <c r="D596" s="125" t="s">
        <v>828</v>
      </c>
      <c r="E596" s="123" t="s">
        <v>1165</v>
      </c>
      <c r="F596" s="126" t="s">
        <v>52</v>
      </c>
      <c r="G596" s="131"/>
      <c r="H596" s="122" t="s">
        <v>170</v>
      </c>
      <c r="I596" s="123" t="s">
        <v>265</v>
      </c>
      <c r="J596" s="212"/>
      <c r="K596" s="212"/>
      <c r="L596" s="212"/>
      <c r="M596" s="213"/>
      <c r="N596" s="213"/>
      <c r="O596" s="214"/>
      <c r="P596" s="106" t="b">
        <f t="shared" si="31"/>
        <v>0</v>
      </c>
    </row>
    <row r="597" spans="1:16" x14ac:dyDescent="0.3">
      <c r="A597" s="124">
        <v>22</v>
      </c>
      <c r="B597" s="37" t="s">
        <v>1150</v>
      </c>
      <c r="C597" s="38">
        <v>14</v>
      </c>
      <c r="D597" s="125" t="s">
        <v>1146</v>
      </c>
      <c r="E597" s="123" t="s">
        <v>1166</v>
      </c>
      <c r="F597" s="126" t="s">
        <v>52</v>
      </c>
      <c r="G597" s="128"/>
      <c r="H597" s="122" t="s">
        <v>1172</v>
      </c>
      <c r="I597" s="123" t="s">
        <v>1171</v>
      </c>
      <c r="J597" s="212"/>
      <c r="K597" s="212"/>
      <c r="L597" s="212"/>
      <c r="M597" s="213"/>
      <c r="N597" s="213"/>
      <c r="O597" s="214"/>
      <c r="P597" s="106" t="b">
        <f t="shared" si="31"/>
        <v>0</v>
      </c>
    </row>
    <row r="598" spans="1:16" x14ac:dyDescent="0.3">
      <c r="A598" s="124">
        <v>22</v>
      </c>
      <c r="B598" s="37" t="s">
        <v>1150</v>
      </c>
      <c r="C598" s="38">
        <v>15</v>
      </c>
      <c r="D598" s="125" t="s">
        <v>898</v>
      </c>
      <c r="E598" s="123" t="s">
        <v>1167</v>
      </c>
      <c r="F598" s="131"/>
      <c r="G598" s="128" t="s">
        <v>53</v>
      </c>
      <c r="H598" s="154" t="s">
        <v>1172</v>
      </c>
      <c r="I598" s="155" t="s">
        <v>1171</v>
      </c>
      <c r="J598" s="212"/>
      <c r="K598" s="212"/>
      <c r="L598" s="212"/>
      <c r="M598" s="213"/>
      <c r="N598" s="213"/>
      <c r="O598" s="214"/>
      <c r="P598" s="106" t="b">
        <f t="shared" si="31"/>
        <v>0</v>
      </c>
    </row>
    <row r="599" spans="1:16" x14ac:dyDescent="0.3">
      <c r="A599" s="124">
        <v>22</v>
      </c>
      <c r="B599" s="37" t="s">
        <v>1150</v>
      </c>
      <c r="C599" s="38">
        <v>16</v>
      </c>
      <c r="D599" s="125" t="s">
        <v>1147</v>
      </c>
      <c r="E599" s="123" t="s">
        <v>1168</v>
      </c>
      <c r="F599" s="126" t="s">
        <v>52</v>
      </c>
      <c r="G599" s="131"/>
      <c r="H599" s="122" t="s">
        <v>262</v>
      </c>
      <c r="I599" s="123" t="s">
        <v>580</v>
      </c>
      <c r="J599" s="212" t="s">
        <v>1383</v>
      </c>
      <c r="K599" s="212"/>
      <c r="L599" s="212"/>
      <c r="M599" s="213"/>
      <c r="N599" s="213"/>
      <c r="O599" s="214"/>
      <c r="P599" s="106" t="b">
        <f t="shared" si="31"/>
        <v>1</v>
      </c>
    </row>
    <row r="600" spans="1:16" x14ac:dyDescent="0.3">
      <c r="A600" s="124">
        <v>22</v>
      </c>
      <c r="B600" s="37" t="s">
        <v>1150</v>
      </c>
      <c r="C600" s="38">
        <v>17</v>
      </c>
      <c r="D600" s="125" t="s">
        <v>1148</v>
      </c>
      <c r="E600" s="123" t="s">
        <v>1169</v>
      </c>
      <c r="F600" s="126" t="s">
        <v>52</v>
      </c>
      <c r="G600" s="131"/>
      <c r="H600" s="122" t="s">
        <v>262</v>
      </c>
      <c r="I600" s="123" t="s">
        <v>580</v>
      </c>
      <c r="J600" s="212" t="s">
        <v>1383</v>
      </c>
      <c r="K600" s="212"/>
      <c r="L600" s="212"/>
      <c r="M600" s="213"/>
      <c r="N600" s="213"/>
      <c r="O600" s="214"/>
      <c r="P600" s="106" t="b">
        <f t="shared" si="31"/>
        <v>1</v>
      </c>
    </row>
    <row r="601" spans="1:16" ht="19.5" thickBot="1" x14ac:dyDescent="0.35">
      <c r="A601" s="124">
        <v>22</v>
      </c>
      <c r="B601" s="37" t="s">
        <v>1150</v>
      </c>
      <c r="C601" s="38">
        <v>18</v>
      </c>
      <c r="D601" s="166" t="s">
        <v>1149</v>
      </c>
      <c r="E601" s="123" t="s">
        <v>1170</v>
      </c>
      <c r="F601" s="126" t="s">
        <v>52</v>
      </c>
      <c r="G601" s="131"/>
      <c r="H601" s="122" t="s">
        <v>170</v>
      </c>
      <c r="I601" s="123" t="s">
        <v>265</v>
      </c>
      <c r="J601" s="212" t="s">
        <v>1383</v>
      </c>
      <c r="K601" s="212"/>
      <c r="L601" s="212"/>
      <c r="M601" s="213"/>
      <c r="N601" s="213"/>
      <c r="O601" s="214"/>
      <c r="P601" s="106" t="b">
        <f t="shared" si="31"/>
        <v>1</v>
      </c>
    </row>
    <row r="602" spans="1:16" ht="19.5" hidden="1" thickBot="1" x14ac:dyDescent="0.3">
      <c r="A602" s="177">
        <v>22</v>
      </c>
      <c r="B602" s="178" t="s">
        <v>1150</v>
      </c>
      <c r="C602" s="179">
        <f>COUNTA(C584:C601)</f>
        <v>18</v>
      </c>
      <c r="D602" s="180" t="s">
        <v>1</v>
      </c>
      <c r="E602" s="180" t="s">
        <v>1374</v>
      </c>
      <c r="F602" s="179">
        <f>COUNTA(F584:F601)</f>
        <v>16</v>
      </c>
      <c r="G602" s="179">
        <f>COUNTA(G584:G601)</f>
        <v>2</v>
      </c>
      <c r="H602" s="302" t="s">
        <v>3</v>
      </c>
      <c r="I602" s="303"/>
      <c r="J602" s="109">
        <f t="shared" ref="J602:O602" si="32">COUNTA(J584:J601)</f>
        <v>7</v>
      </c>
      <c r="K602" s="109">
        <f t="shared" si="32"/>
        <v>0</v>
      </c>
      <c r="L602" s="109">
        <f t="shared" si="32"/>
        <v>0</v>
      </c>
      <c r="M602" s="109">
        <f t="shared" si="32"/>
        <v>0</v>
      </c>
      <c r="N602" s="109">
        <f t="shared" si="32"/>
        <v>0</v>
      </c>
      <c r="O602" s="110">
        <f t="shared" si="32"/>
        <v>0</v>
      </c>
      <c r="P602" s="108">
        <f>COUNTIF(P584:P601,TRUE)</f>
        <v>7</v>
      </c>
    </row>
    <row r="603" spans="1:16" x14ac:dyDescent="0.3">
      <c r="A603" s="119">
        <v>23</v>
      </c>
      <c r="B603" s="41" t="s">
        <v>1183</v>
      </c>
      <c r="C603" s="44">
        <v>1</v>
      </c>
      <c r="D603" s="150" t="s">
        <v>1173</v>
      </c>
      <c r="E603" s="153" t="s">
        <v>1184</v>
      </c>
      <c r="F603" s="151" t="s">
        <v>52</v>
      </c>
      <c r="G603" s="168"/>
      <c r="H603" s="152" t="s">
        <v>343</v>
      </c>
      <c r="I603" s="153" t="s">
        <v>342</v>
      </c>
      <c r="J603" s="218"/>
      <c r="K603" s="218"/>
      <c r="L603" s="218"/>
      <c r="M603" s="219"/>
      <c r="N603" s="219"/>
      <c r="O603" s="220"/>
      <c r="P603" s="106" t="b">
        <f t="shared" si="31"/>
        <v>0</v>
      </c>
    </row>
    <row r="604" spans="1:16" x14ac:dyDescent="0.3">
      <c r="A604" s="124">
        <v>23</v>
      </c>
      <c r="B604" s="37" t="s">
        <v>1183</v>
      </c>
      <c r="C604" s="38">
        <v>2</v>
      </c>
      <c r="D604" s="125" t="s">
        <v>1174</v>
      </c>
      <c r="E604" s="123" t="s">
        <v>1186</v>
      </c>
      <c r="F604" s="131"/>
      <c r="G604" s="128" t="s">
        <v>53</v>
      </c>
      <c r="H604" s="154" t="s">
        <v>995</v>
      </c>
      <c r="I604" s="155" t="s">
        <v>1197</v>
      </c>
      <c r="J604" s="212"/>
      <c r="K604" s="212"/>
      <c r="L604" s="212"/>
      <c r="M604" s="213"/>
      <c r="N604" s="213"/>
      <c r="O604" s="214"/>
      <c r="P604" s="106" t="b">
        <f t="shared" si="31"/>
        <v>0</v>
      </c>
    </row>
    <row r="605" spans="1:16" x14ac:dyDescent="0.3">
      <c r="A605" s="124">
        <v>23</v>
      </c>
      <c r="B605" s="37" t="s">
        <v>1183</v>
      </c>
      <c r="C605" s="38">
        <v>3</v>
      </c>
      <c r="D605" s="125" t="s">
        <v>1175</v>
      </c>
      <c r="E605" s="123" t="s">
        <v>1185</v>
      </c>
      <c r="F605" s="126" t="s">
        <v>52</v>
      </c>
      <c r="G605" s="131"/>
      <c r="H605" s="122" t="s">
        <v>995</v>
      </c>
      <c r="I605" s="123" t="s">
        <v>1197</v>
      </c>
      <c r="J605" s="212" t="s">
        <v>1383</v>
      </c>
      <c r="K605" s="212"/>
      <c r="L605" s="212"/>
      <c r="M605" s="213"/>
      <c r="N605" s="213"/>
      <c r="O605" s="214"/>
      <c r="P605" s="106" t="b">
        <f t="shared" si="31"/>
        <v>1</v>
      </c>
    </row>
    <row r="606" spans="1:16" x14ac:dyDescent="0.3">
      <c r="A606" s="124">
        <v>23</v>
      </c>
      <c r="B606" s="37" t="s">
        <v>1183</v>
      </c>
      <c r="C606" s="38">
        <v>4</v>
      </c>
      <c r="D606" s="125" t="s">
        <v>1176</v>
      </c>
      <c r="E606" s="123" t="s">
        <v>347</v>
      </c>
      <c r="F606" s="126" t="s">
        <v>52</v>
      </c>
      <c r="G606" s="131"/>
      <c r="H606" s="122" t="s">
        <v>344</v>
      </c>
      <c r="I606" s="123" t="s">
        <v>345</v>
      </c>
      <c r="J606" s="212" t="s">
        <v>1383</v>
      </c>
      <c r="K606" s="212"/>
      <c r="L606" s="212"/>
      <c r="M606" s="213"/>
      <c r="N606" s="212" t="s">
        <v>1383</v>
      </c>
      <c r="O606" s="214" t="s">
        <v>1383</v>
      </c>
      <c r="P606" s="106" t="b">
        <f t="shared" si="31"/>
        <v>1</v>
      </c>
    </row>
    <row r="607" spans="1:16" x14ac:dyDescent="0.3">
      <c r="A607" s="124">
        <v>23</v>
      </c>
      <c r="B607" s="37" t="s">
        <v>1183</v>
      </c>
      <c r="C607" s="38">
        <v>5</v>
      </c>
      <c r="D607" s="125" t="s">
        <v>1054</v>
      </c>
      <c r="E607" s="123" t="s">
        <v>1187</v>
      </c>
      <c r="F607" s="126" t="s">
        <v>52</v>
      </c>
      <c r="G607" s="131"/>
      <c r="H607" s="122" t="s">
        <v>1198</v>
      </c>
      <c r="I607" s="123" t="s">
        <v>1199</v>
      </c>
      <c r="J607" s="212" t="s">
        <v>1383</v>
      </c>
      <c r="K607" s="212" t="s">
        <v>1383</v>
      </c>
      <c r="L607" s="212"/>
      <c r="M607" s="213"/>
      <c r="N607" s="213"/>
      <c r="O607" s="214" t="s">
        <v>1383</v>
      </c>
      <c r="P607" s="106" t="b">
        <f t="shared" si="31"/>
        <v>1</v>
      </c>
    </row>
    <row r="608" spans="1:16" x14ac:dyDescent="0.3">
      <c r="A608" s="124">
        <v>23</v>
      </c>
      <c r="B608" s="37" t="s">
        <v>1183</v>
      </c>
      <c r="C608" s="38">
        <v>6</v>
      </c>
      <c r="D608" s="125" t="s">
        <v>1177</v>
      </c>
      <c r="E608" s="123" t="s">
        <v>1188</v>
      </c>
      <c r="F608" s="126" t="s">
        <v>52</v>
      </c>
      <c r="G608" s="131"/>
      <c r="H608" s="122" t="s">
        <v>343</v>
      </c>
      <c r="I608" s="123" t="s">
        <v>342</v>
      </c>
      <c r="J608" s="212"/>
      <c r="K608" s="212"/>
      <c r="L608" s="212"/>
      <c r="M608" s="213"/>
      <c r="N608" s="213"/>
      <c r="O608" s="214"/>
      <c r="P608" s="106" t="b">
        <f t="shared" si="31"/>
        <v>0</v>
      </c>
    </row>
    <row r="609" spans="1:16" x14ac:dyDescent="0.3">
      <c r="A609" s="124">
        <v>23</v>
      </c>
      <c r="B609" s="37" t="s">
        <v>1183</v>
      </c>
      <c r="C609" s="38">
        <v>7</v>
      </c>
      <c r="D609" s="125" t="s">
        <v>1178</v>
      </c>
      <c r="E609" s="123" t="s">
        <v>1189</v>
      </c>
      <c r="F609" s="131"/>
      <c r="G609" s="128" t="s">
        <v>53</v>
      </c>
      <c r="H609" s="154" t="s">
        <v>995</v>
      </c>
      <c r="I609" s="155" t="s">
        <v>1197</v>
      </c>
      <c r="J609" s="212"/>
      <c r="K609" s="212"/>
      <c r="L609" s="212"/>
      <c r="M609" s="213"/>
      <c r="N609" s="213"/>
      <c r="O609" s="214"/>
      <c r="P609" s="106" t="b">
        <f t="shared" si="31"/>
        <v>0</v>
      </c>
    </row>
    <row r="610" spans="1:16" x14ac:dyDescent="0.3">
      <c r="A610" s="124">
        <v>23</v>
      </c>
      <c r="B610" s="37" t="s">
        <v>1183</v>
      </c>
      <c r="C610" s="38">
        <v>8</v>
      </c>
      <c r="D610" s="125" t="s">
        <v>885</v>
      </c>
      <c r="E610" s="123" t="s">
        <v>1190</v>
      </c>
      <c r="F610" s="131"/>
      <c r="G610" s="128" t="s">
        <v>53</v>
      </c>
      <c r="H610" s="154" t="s">
        <v>995</v>
      </c>
      <c r="I610" s="155" t="s">
        <v>1197</v>
      </c>
      <c r="J610" s="212"/>
      <c r="K610" s="212"/>
      <c r="L610" s="212"/>
      <c r="M610" s="224"/>
      <c r="N610" s="213"/>
      <c r="O610" s="214"/>
      <c r="P610" s="106" t="b">
        <f t="shared" si="31"/>
        <v>0</v>
      </c>
    </row>
    <row r="611" spans="1:16" x14ac:dyDescent="0.3">
      <c r="A611" s="124">
        <v>23</v>
      </c>
      <c r="B611" s="37" t="s">
        <v>1183</v>
      </c>
      <c r="C611" s="38">
        <v>9</v>
      </c>
      <c r="D611" s="125" t="s">
        <v>823</v>
      </c>
      <c r="E611" s="123" t="s">
        <v>1191</v>
      </c>
      <c r="F611" s="126" t="s">
        <v>52</v>
      </c>
      <c r="G611" s="131"/>
      <c r="H611" s="122" t="s">
        <v>995</v>
      </c>
      <c r="I611" s="123" t="s">
        <v>1197</v>
      </c>
      <c r="J611" s="212" t="s">
        <v>1383</v>
      </c>
      <c r="K611" s="212"/>
      <c r="L611" s="212"/>
      <c r="M611" s="213"/>
      <c r="N611" s="212" t="s">
        <v>1383</v>
      </c>
      <c r="O611" s="214"/>
      <c r="P611" s="106" t="b">
        <f t="shared" si="31"/>
        <v>1</v>
      </c>
    </row>
    <row r="612" spans="1:16" x14ac:dyDescent="0.3">
      <c r="A612" s="124">
        <v>23</v>
      </c>
      <c r="B612" s="37" t="s">
        <v>1183</v>
      </c>
      <c r="C612" s="38">
        <v>10</v>
      </c>
      <c r="D612" s="125" t="s">
        <v>1179</v>
      </c>
      <c r="E612" s="123" t="s">
        <v>1199</v>
      </c>
      <c r="F612" s="126" t="s">
        <v>52</v>
      </c>
      <c r="G612" s="131"/>
      <c r="H612" s="122" t="s">
        <v>995</v>
      </c>
      <c r="I612" s="123" t="s">
        <v>1197</v>
      </c>
      <c r="J612" s="212" t="s">
        <v>1383</v>
      </c>
      <c r="K612" s="212"/>
      <c r="L612" s="212" t="s">
        <v>1383</v>
      </c>
      <c r="M612" s="213"/>
      <c r="N612" s="212" t="s">
        <v>1383</v>
      </c>
      <c r="O612" s="214"/>
      <c r="P612" s="106" t="b">
        <f t="shared" si="31"/>
        <v>1</v>
      </c>
    </row>
    <row r="613" spans="1:16" x14ac:dyDescent="0.3">
      <c r="A613" s="124">
        <v>23</v>
      </c>
      <c r="B613" s="37" t="s">
        <v>1183</v>
      </c>
      <c r="C613" s="38">
        <v>11</v>
      </c>
      <c r="D613" s="125" t="s">
        <v>1180</v>
      </c>
      <c r="E613" s="123" t="s">
        <v>1192</v>
      </c>
      <c r="F613" s="131"/>
      <c r="G613" s="128" t="s">
        <v>53</v>
      </c>
      <c r="H613" s="154" t="s">
        <v>995</v>
      </c>
      <c r="I613" s="155" t="s">
        <v>1197</v>
      </c>
      <c r="J613" s="212"/>
      <c r="K613" s="212"/>
      <c r="L613" s="212"/>
      <c r="M613" s="213"/>
      <c r="N613" s="213"/>
      <c r="O613" s="214"/>
      <c r="P613" s="106" t="b">
        <f t="shared" si="31"/>
        <v>0</v>
      </c>
    </row>
    <row r="614" spans="1:16" x14ac:dyDescent="0.3">
      <c r="A614" s="124">
        <v>23</v>
      </c>
      <c r="B614" s="37" t="s">
        <v>1183</v>
      </c>
      <c r="C614" s="38">
        <v>12</v>
      </c>
      <c r="D614" s="125" t="s">
        <v>995</v>
      </c>
      <c r="E614" s="123" t="s">
        <v>1193</v>
      </c>
      <c r="F614" s="126" t="s">
        <v>52</v>
      </c>
      <c r="G614" s="131"/>
      <c r="H614" s="122" t="s">
        <v>344</v>
      </c>
      <c r="I614" s="123" t="s">
        <v>345</v>
      </c>
      <c r="J614" s="212" t="s">
        <v>1383</v>
      </c>
      <c r="K614" s="212" t="s">
        <v>1383</v>
      </c>
      <c r="L614" s="212"/>
      <c r="M614" s="213"/>
      <c r="N614" s="212" t="s">
        <v>1383</v>
      </c>
      <c r="O614" s="214" t="s">
        <v>1383</v>
      </c>
      <c r="P614" s="106" t="b">
        <f t="shared" si="31"/>
        <v>1</v>
      </c>
    </row>
    <row r="615" spans="1:16" x14ac:dyDescent="0.3">
      <c r="A615" s="124">
        <v>23</v>
      </c>
      <c r="B615" s="37" t="s">
        <v>1183</v>
      </c>
      <c r="C615" s="38">
        <v>13</v>
      </c>
      <c r="D615" s="125" t="s">
        <v>43</v>
      </c>
      <c r="E615" s="123" t="s">
        <v>1194</v>
      </c>
      <c r="F615" s="126" t="s">
        <v>52</v>
      </c>
      <c r="G615" s="131"/>
      <c r="H615" s="122" t="s">
        <v>344</v>
      </c>
      <c r="I615" s="123" t="s">
        <v>345</v>
      </c>
      <c r="J615" s="212" t="s">
        <v>1383</v>
      </c>
      <c r="K615" s="212"/>
      <c r="L615" s="212"/>
      <c r="M615" s="213"/>
      <c r="N615" s="212" t="s">
        <v>1383</v>
      </c>
      <c r="O615" s="214" t="s">
        <v>1383</v>
      </c>
      <c r="P615" s="106" t="b">
        <f t="shared" si="31"/>
        <v>1</v>
      </c>
    </row>
    <row r="616" spans="1:16" x14ac:dyDescent="0.3">
      <c r="A616" s="124">
        <v>23</v>
      </c>
      <c r="B616" s="37" t="s">
        <v>1183</v>
      </c>
      <c r="C616" s="38">
        <v>14</v>
      </c>
      <c r="D616" s="125" t="s">
        <v>1181</v>
      </c>
      <c r="E616" s="123" t="s">
        <v>1195</v>
      </c>
      <c r="F616" s="126" t="s">
        <v>52</v>
      </c>
      <c r="G616" s="131"/>
      <c r="H616" s="122" t="s">
        <v>995</v>
      </c>
      <c r="I616" s="123" t="s">
        <v>1197</v>
      </c>
      <c r="J616" s="212" t="s">
        <v>1383</v>
      </c>
      <c r="K616" s="212"/>
      <c r="L616" s="212"/>
      <c r="M616" s="213"/>
      <c r="N616" s="213"/>
      <c r="O616" s="214"/>
      <c r="P616" s="106" t="b">
        <f t="shared" si="31"/>
        <v>1</v>
      </c>
    </row>
    <row r="617" spans="1:16" ht="19.5" thickBot="1" x14ac:dyDescent="0.35">
      <c r="A617" s="132">
        <v>23</v>
      </c>
      <c r="B617" s="39" t="s">
        <v>1183</v>
      </c>
      <c r="C617" s="45">
        <v>15</v>
      </c>
      <c r="D617" s="156" t="s">
        <v>1182</v>
      </c>
      <c r="E617" s="159" t="s">
        <v>1196</v>
      </c>
      <c r="F617" s="157" t="s">
        <v>52</v>
      </c>
      <c r="G617" s="174"/>
      <c r="H617" s="158" t="s">
        <v>995</v>
      </c>
      <c r="I617" s="159" t="s">
        <v>1197</v>
      </c>
      <c r="J617" s="221" t="s">
        <v>1383</v>
      </c>
      <c r="K617" s="221"/>
      <c r="L617" s="221"/>
      <c r="M617" s="222"/>
      <c r="N617" s="222"/>
      <c r="O617" s="223"/>
      <c r="P617" s="106" t="b">
        <f t="shared" si="31"/>
        <v>1</v>
      </c>
    </row>
    <row r="618" spans="1:16" ht="19.5" hidden="1" thickBot="1" x14ac:dyDescent="0.3">
      <c r="A618" s="182">
        <v>23</v>
      </c>
      <c r="B618" s="34" t="s">
        <v>1183</v>
      </c>
      <c r="C618" s="21">
        <f>COUNTA(C603:C617)</f>
        <v>15</v>
      </c>
      <c r="D618" s="49" t="s">
        <v>1</v>
      </c>
      <c r="E618" s="49" t="s">
        <v>1374</v>
      </c>
      <c r="F618" s="21">
        <f>COUNTA(F603:F617)</f>
        <v>11</v>
      </c>
      <c r="G618" s="21">
        <f>COUNTA(G603:G617)</f>
        <v>4</v>
      </c>
      <c r="H618" s="300" t="s">
        <v>3</v>
      </c>
      <c r="I618" s="301"/>
      <c r="J618" s="114">
        <f t="shared" ref="J618:O618" si="33">COUNTA(J603:J617)</f>
        <v>9</v>
      </c>
      <c r="K618" s="111">
        <f t="shared" si="33"/>
        <v>2</v>
      </c>
      <c r="L618" s="111">
        <f t="shared" si="33"/>
        <v>1</v>
      </c>
      <c r="M618" s="111">
        <f t="shared" si="33"/>
        <v>0</v>
      </c>
      <c r="N618" s="111">
        <f t="shared" si="33"/>
        <v>5</v>
      </c>
      <c r="O618" s="112">
        <f t="shared" si="33"/>
        <v>4</v>
      </c>
      <c r="P618" s="108">
        <f>COUNTIF(P603:P617,TRUE)</f>
        <v>9</v>
      </c>
    </row>
    <row r="619" spans="1:16" x14ac:dyDescent="0.3">
      <c r="A619" s="124">
        <v>24</v>
      </c>
      <c r="B619" s="37" t="s">
        <v>1224</v>
      </c>
      <c r="C619" s="38">
        <v>1</v>
      </c>
      <c r="D619" s="166" t="s">
        <v>1200</v>
      </c>
      <c r="E619" s="123" t="s">
        <v>1225</v>
      </c>
      <c r="F619" s="126" t="s">
        <v>52</v>
      </c>
      <c r="G619" s="131"/>
      <c r="H619" s="122" t="s">
        <v>170</v>
      </c>
      <c r="I619" s="123" t="s">
        <v>265</v>
      </c>
      <c r="J619" s="212" t="s">
        <v>1383</v>
      </c>
      <c r="K619" s="212"/>
      <c r="L619" s="212"/>
      <c r="M619" s="213"/>
      <c r="N619" s="213"/>
      <c r="O619" s="214"/>
      <c r="P619" s="106" t="b">
        <f t="shared" si="31"/>
        <v>1</v>
      </c>
    </row>
    <row r="620" spans="1:16" x14ac:dyDescent="0.3">
      <c r="A620" s="124">
        <v>24</v>
      </c>
      <c r="B620" s="37" t="s">
        <v>1224</v>
      </c>
      <c r="C620" s="38">
        <v>2</v>
      </c>
      <c r="D620" s="125" t="s">
        <v>1201</v>
      </c>
      <c r="E620" s="123" t="s">
        <v>1226</v>
      </c>
      <c r="F620" s="126" t="s">
        <v>52</v>
      </c>
      <c r="G620" s="131"/>
      <c r="H620" s="122" t="s">
        <v>267</v>
      </c>
      <c r="I620" s="123" t="s">
        <v>1024</v>
      </c>
      <c r="J620" s="212"/>
      <c r="K620" s="212"/>
      <c r="L620" s="212"/>
      <c r="M620" s="213"/>
      <c r="N620" s="213"/>
      <c r="O620" s="214"/>
      <c r="P620" s="106" t="b">
        <f t="shared" si="31"/>
        <v>0</v>
      </c>
    </row>
    <row r="621" spans="1:16" x14ac:dyDescent="0.3">
      <c r="A621" s="124">
        <v>24</v>
      </c>
      <c r="B621" s="37" t="s">
        <v>1224</v>
      </c>
      <c r="C621" s="38">
        <v>3</v>
      </c>
      <c r="D621" s="125" t="s">
        <v>172</v>
      </c>
      <c r="E621" s="123" t="s">
        <v>1227</v>
      </c>
      <c r="F621" s="126" t="s">
        <v>52</v>
      </c>
      <c r="G621" s="131"/>
      <c r="H621" s="122" t="s">
        <v>262</v>
      </c>
      <c r="I621" s="123" t="s">
        <v>1291</v>
      </c>
      <c r="J621" s="212" t="s">
        <v>1383</v>
      </c>
      <c r="K621" s="212"/>
      <c r="L621" s="212" t="s">
        <v>1383</v>
      </c>
      <c r="M621" s="213"/>
      <c r="N621" s="213"/>
      <c r="O621" s="214"/>
      <c r="P621" s="106" t="b">
        <f t="shared" si="31"/>
        <v>1</v>
      </c>
    </row>
    <row r="622" spans="1:16" x14ac:dyDescent="0.3">
      <c r="A622" s="124">
        <v>24</v>
      </c>
      <c r="B622" s="37" t="s">
        <v>1224</v>
      </c>
      <c r="C622" s="38">
        <v>4</v>
      </c>
      <c r="D622" s="125" t="s">
        <v>1202</v>
      </c>
      <c r="E622" s="123" t="s">
        <v>1228</v>
      </c>
      <c r="F622" s="126" t="s">
        <v>52</v>
      </c>
      <c r="G622" s="131"/>
      <c r="H622" s="122" t="s">
        <v>262</v>
      </c>
      <c r="I622" s="123" t="s">
        <v>1291</v>
      </c>
      <c r="J622" s="212"/>
      <c r="K622" s="212"/>
      <c r="L622" s="212"/>
      <c r="M622" s="213"/>
      <c r="N622" s="213"/>
      <c r="O622" s="214"/>
      <c r="P622" s="106" t="b">
        <f t="shared" si="31"/>
        <v>0</v>
      </c>
    </row>
    <row r="623" spans="1:16" x14ac:dyDescent="0.3">
      <c r="A623" s="124">
        <v>24</v>
      </c>
      <c r="B623" s="37" t="s">
        <v>1224</v>
      </c>
      <c r="C623" s="38">
        <v>5</v>
      </c>
      <c r="D623" s="125" t="s">
        <v>1203</v>
      </c>
      <c r="E623" s="123" t="s">
        <v>1229</v>
      </c>
      <c r="F623" s="126" t="s">
        <v>52</v>
      </c>
      <c r="G623" s="131"/>
      <c r="H623" s="122" t="s">
        <v>314</v>
      </c>
      <c r="I623" s="123" t="s">
        <v>1050</v>
      </c>
      <c r="J623" s="212" t="s">
        <v>1383</v>
      </c>
      <c r="K623" s="212"/>
      <c r="L623" s="212"/>
      <c r="M623" s="213"/>
      <c r="N623" s="213"/>
      <c r="O623" s="214"/>
      <c r="P623" s="106" t="b">
        <f t="shared" si="31"/>
        <v>1</v>
      </c>
    </row>
    <row r="624" spans="1:16" x14ac:dyDescent="0.3">
      <c r="A624" s="124">
        <v>24</v>
      </c>
      <c r="B624" s="37" t="s">
        <v>1224</v>
      </c>
      <c r="C624" s="38">
        <v>6</v>
      </c>
      <c r="D624" s="125" t="s">
        <v>1204</v>
      </c>
      <c r="E624" s="123" t="s">
        <v>1230</v>
      </c>
      <c r="F624" s="126" t="s">
        <v>52</v>
      </c>
      <c r="G624" s="131"/>
      <c r="H624" s="122" t="s">
        <v>267</v>
      </c>
      <c r="I624" s="123" t="s">
        <v>1024</v>
      </c>
      <c r="J624" s="212" t="s">
        <v>1383</v>
      </c>
      <c r="K624" s="212"/>
      <c r="L624" s="212"/>
      <c r="M624" s="213"/>
      <c r="N624" s="213"/>
      <c r="O624" s="214"/>
      <c r="P624" s="106" t="b">
        <f t="shared" si="31"/>
        <v>1</v>
      </c>
    </row>
    <row r="625" spans="1:16" x14ac:dyDescent="0.3">
      <c r="A625" s="124">
        <v>24</v>
      </c>
      <c r="B625" s="37" t="s">
        <v>1224</v>
      </c>
      <c r="C625" s="38">
        <v>7</v>
      </c>
      <c r="D625" s="125" t="s">
        <v>1205</v>
      </c>
      <c r="E625" s="123" t="s">
        <v>1231</v>
      </c>
      <c r="F625" s="126" t="s">
        <v>52</v>
      </c>
      <c r="G625" s="131"/>
      <c r="H625" s="122" t="s">
        <v>314</v>
      </c>
      <c r="I625" s="123" t="s">
        <v>1050</v>
      </c>
      <c r="J625" s="212" t="s">
        <v>1383</v>
      </c>
      <c r="K625" s="212"/>
      <c r="L625" s="212"/>
      <c r="M625" s="213"/>
      <c r="N625" s="213"/>
      <c r="O625" s="214"/>
      <c r="P625" s="106" t="b">
        <f t="shared" si="31"/>
        <v>1</v>
      </c>
    </row>
    <row r="626" spans="1:16" x14ac:dyDescent="0.3">
      <c r="A626" s="124">
        <v>24</v>
      </c>
      <c r="B626" s="37" t="s">
        <v>1224</v>
      </c>
      <c r="C626" s="38">
        <v>8</v>
      </c>
      <c r="D626" s="125" t="s">
        <v>72</v>
      </c>
      <c r="E626" s="123" t="s">
        <v>1232</v>
      </c>
      <c r="F626" s="126" t="s">
        <v>52</v>
      </c>
      <c r="G626" s="131"/>
      <c r="H626" s="122" t="s">
        <v>267</v>
      </c>
      <c r="I626" s="123" t="s">
        <v>1024</v>
      </c>
      <c r="J626" s="212"/>
      <c r="K626" s="212"/>
      <c r="L626" s="212"/>
      <c r="M626" s="213"/>
      <c r="N626" s="213"/>
      <c r="O626" s="214"/>
      <c r="P626" s="106" t="b">
        <f t="shared" si="31"/>
        <v>0</v>
      </c>
    </row>
    <row r="627" spans="1:16" x14ac:dyDescent="0.3">
      <c r="A627" s="124">
        <v>24</v>
      </c>
      <c r="B627" s="37" t="s">
        <v>1224</v>
      </c>
      <c r="C627" s="38">
        <v>9</v>
      </c>
      <c r="D627" s="125" t="s">
        <v>1206</v>
      </c>
      <c r="E627" s="123" t="s">
        <v>1233</v>
      </c>
      <c r="F627" s="126" t="s">
        <v>52</v>
      </c>
      <c r="G627" s="131"/>
      <c r="H627" s="122" t="s">
        <v>314</v>
      </c>
      <c r="I627" s="123" t="s">
        <v>1050</v>
      </c>
      <c r="J627" s="212" t="s">
        <v>1383</v>
      </c>
      <c r="K627" s="212"/>
      <c r="L627" s="212"/>
      <c r="M627" s="213"/>
      <c r="N627" s="213"/>
      <c r="O627" s="214"/>
      <c r="P627" s="106" t="b">
        <f t="shared" si="31"/>
        <v>1</v>
      </c>
    </row>
    <row r="628" spans="1:16" x14ac:dyDescent="0.3">
      <c r="A628" s="124">
        <v>24</v>
      </c>
      <c r="B628" s="37" t="s">
        <v>1224</v>
      </c>
      <c r="C628" s="38">
        <v>10</v>
      </c>
      <c r="D628" s="125" t="s">
        <v>1207</v>
      </c>
      <c r="E628" s="123" t="s">
        <v>1234</v>
      </c>
      <c r="F628" s="126" t="s">
        <v>52</v>
      </c>
      <c r="G628" s="131"/>
      <c r="H628" s="122" t="s">
        <v>314</v>
      </c>
      <c r="I628" s="123" t="s">
        <v>1050</v>
      </c>
      <c r="J628" s="212"/>
      <c r="K628" s="212"/>
      <c r="L628" s="212"/>
      <c r="M628" s="213"/>
      <c r="N628" s="213"/>
      <c r="O628" s="214"/>
      <c r="P628" s="106" t="b">
        <f t="shared" si="31"/>
        <v>0</v>
      </c>
    </row>
    <row r="629" spans="1:16" x14ac:dyDescent="0.3">
      <c r="A629" s="124">
        <v>24</v>
      </c>
      <c r="B629" s="37" t="s">
        <v>1224</v>
      </c>
      <c r="C629" s="38">
        <v>11</v>
      </c>
      <c r="D629" s="125" t="s">
        <v>1208</v>
      </c>
      <c r="E629" s="123" t="s">
        <v>1235</v>
      </c>
      <c r="F629" s="126" t="s">
        <v>52</v>
      </c>
      <c r="G629" s="131"/>
      <c r="H629" s="122" t="s">
        <v>267</v>
      </c>
      <c r="I629" s="123" t="s">
        <v>1024</v>
      </c>
      <c r="J629" s="212" t="s">
        <v>1383</v>
      </c>
      <c r="K629" s="212"/>
      <c r="L629" s="212"/>
      <c r="M629" s="213"/>
      <c r="N629" s="213"/>
      <c r="O629" s="214"/>
      <c r="P629" s="106" t="b">
        <f t="shared" si="31"/>
        <v>1</v>
      </c>
    </row>
    <row r="630" spans="1:16" x14ac:dyDescent="0.3">
      <c r="A630" s="124">
        <v>24</v>
      </c>
      <c r="B630" s="37" t="s">
        <v>1224</v>
      </c>
      <c r="C630" s="38">
        <v>12</v>
      </c>
      <c r="D630" s="125" t="s">
        <v>1209</v>
      </c>
      <c r="E630" s="123" t="s">
        <v>1236</v>
      </c>
      <c r="F630" s="126" t="s">
        <v>52</v>
      </c>
      <c r="G630" s="131"/>
      <c r="H630" s="122" t="s">
        <v>262</v>
      </c>
      <c r="I630" s="123" t="s">
        <v>1291</v>
      </c>
      <c r="J630" s="212" t="s">
        <v>1383</v>
      </c>
      <c r="K630" s="212"/>
      <c r="L630" s="212"/>
      <c r="M630" s="213"/>
      <c r="N630" s="213"/>
      <c r="O630" s="214"/>
      <c r="P630" s="106" t="b">
        <f t="shared" si="31"/>
        <v>1</v>
      </c>
    </row>
    <row r="631" spans="1:16" x14ac:dyDescent="0.3">
      <c r="A631" s="124">
        <v>24</v>
      </c>
      <c r="B631" s="37" t="s">
        <v>1224</v>
      </c>
      <c r="C631" s="38">
        <v>13</v>
      </c>
      <c r="D631" s="125" t="s">
        <v>1210</v>
      </c>
      <c r="E631" s="123" t="s">
        <v>1237</v>
      </c>
      <c r="F631" s="126" t="s">
        <v>52</v>
      </c>
      <c r="G631" s="131"/>
      <c r="H631" s="122" t="s">
        <v>267</v>
      </c>
      <c r="I631" s="123" t="s">
        <v>1024</v>
      </c>
      <c r="J631" s="212"/>
      <c r="K631" s="212"/>
      <c r="L631" s="212"/>
      <c r="M631" s="213"/>
      <c r="N631" s="213"/>
      <c r="O631" s="214"/>
      <c r="P631" s="106" t="b">
        <f t="shared" si="31"/>
        <v>0</v>
      </c>
    </row>
    <row r="632" spans="1:16" x14ac:dyDescent="0.3">
      <c r="A632" s="124">
        <v>24</v>
      </c>
      <c r="B632" s="37" t="s">
        <v>1224</v>
      </c>
      <c r="C632" s="38">
        <v>14</v>
      </c>
      <c r="D632" s="125" t="s">
        <v>1211</v>
      </c>
      <c r="E632" s="123" t="s">
        <v>1238</v>
      </c>
      <c r="F632" s="126" t="s">
        <v>52</v>
      </c>
      <c r="G632" s="131"/>
      <c r="H632" s="122" t="s">
        <v>267</v>
      </c>
      <c r="I632" s="123" t="s">
        <v>1024</v>
      </c>
      <c r="J632" s="212"/>
      <c r="K632" s="212"/>
      <c r="L632" s="212"/>
      <c r="M632" s="213"/>
      <c r="N632" s="213"/>
      <c r="O632" s="214"/>
      <c r="P632" s="106" t="b">
        <f t="shared" si="31"/>
        <v>0</v>
      </c>
    </row>
    <row r="633" spans="1:16" x14ac:dyDescent="0.3">
      <c r="A633" s="124">
        <v>24</v>
      </c>
      <c r="B633" s="37" t="s">
        <v>1224</v>
      </c>
      <c r="C633" s="38">
        <v>15</v>
      </c>
      <c r="D633" s="125" t="s">
        <v>1376</v>
      </c>
      <c r="E633" s="123" t="s">
        <v>1239</v>
      </c>
      <c r="F633" s="126" t="s">
        <v>52</v>
      </c>
      <c r="G633" s="131"/>
      <c r="H633" s="122" t="s">
        <v>267</v>
      </c>
      <c r="I633" s="123" t="s">
        <v>1024</v>
      </c>
      <c r="J633" s="212" t="s">
        <v>1383</v>
      </c>
      <c r="K633" s="212" t="s">
        <v>1383</v>
      </c>
      <c r="L633" s="212"/>
      <c r="M633" s="213"/>
      <c r="N633" s="213"/>
      <c r="O633" s="214"/>
      <c r="P633" s="106" t="b">
        <f t="shared" si="31"/>
        <v>1</v>
      </c>
    </row>
    <row r="634" spans="1:16" x14ac:dyDescent="0.3">
      <c r="A634" s="124">
        <v>24</v>
      </c>
      <c r="B634" s="37" t="s">
        <v>1224</v>
      </c>
      <c r="C634" s="38">
        <v>16</v>
      </c>
      <c r="D634" s="125" t="s">
        <v>1212</v>
      </c>
      <c r="E634" s="123" t="s">
        <v>1240</v>
      </c>
      <c r="F634" s="126" t="s">
        <v>52</v>
      </c>
      <c r="G634" s="131"/>
      <c r="H634" s="122" t="s">
        <v>267</v>
      </c>
      <c r="I634" s="123" t="s">
        <v>1024</v>
      </c>
      <c r="J634" s="212"/>
      <c r="K634" s="212"/>
      <c r="L634" s="212"/>
      <c r="M634" s="213"/>
      <c r="N634" s="213"/>
      <c r="O634" s="214"/>
      <c r="P634" s="106" t="b">
        <f t="shared" si="31"/>
        <v>0</v>
      </c>
    </row>
    <row r="635" spans="1:16" x14ac:dyDescent="0.3">
      <c r="A635" s="124">
        <v>24</v>
      </c>
      <c r="B635" s="37" t="s">
        <v>1224</v>
      </c>
      <c r="C635" s="38">
        <v>17</v>
      </c>
      <c r="D635" s="125" t="s">
        <v>1213</v>
      </c>
      <c r="E635" s="123" t="s">
        <v>1241</v>
      </c>
      <c r="F635" s="126" t="s">
        <v>52</v>
      </c>
      <c r="G635" s="131"/>
      <c r="H635" s="122" t="s">
        <v>314</v>
      </c>
      <c r="I635" s="123" t="s">
        <v>1050</v>
      </c>
      <c r="J635" s="212" t="s">
        <v>1383</v>
      </c>
      <c r="K635" s="212"/>
      <c r="L635" s="212"/>
      <c r="M635" s="213"/>
      <c r="N635" s="213"/>
      <c r="O635" s="214"/>
      <c r="P635" s="106" t="b">
        <f t="shared" si="31"/>
        <v>1</v>
      </c>
    </row>
    <row r="636" spans="1:16" x14ac:dyDescent="0.3">
      <c r="A636" s="124">
        <v>24</v>
      </c>
      <c r="B636" s="37" t="s">
        <v>1224</v>
      </c>
      <c r="C636" s="38">
        <v>18</v>
      </c>
      <c r="D636" s="125" t="s">
        <v>1214</v>
      </c>
      <c r="E636" s="123" t="s">
        <v>1242</v>
      </c>
      <c r="F636" s="126" t="s">
        <v>52</v>
      </c>
      <c r="G636" s="131"/>
      <c r="H636" s="122" t="s">
        <v>314</v>
      </c>
      <c r="I636" s="123" t="s">
        <v>1050</v>
      </c>
      <c r="J636" s="212" t="s">
        <v>1383</v>
      </c>
      <c r="K636" s="212"/>
      <c r="L636" s="212"/>
      <c r="M636" s="213"/>
      <c r="N636" s="213"/>
      <c r="O636" s="214"/>
      <c r="P636" s="106" t="b">
        <f t="shared" si="31"/>
        <v>1</v>
      </c>
    </row>
    <row r="637" spans="1:16" x14ac:dyDescent="0.3">
      <c r="A637" s="124">
        <v>24</v>
      </c>
      <c r="B637" s="37" t="s">
        <v>1224</v>
      </c>
      <c r="C637" s="38">
        <v>19</v>
      </c>
      <c r="D637" s="125" t="s">
        <v>1215</v>
      </c>
      <c r="E637" s="123" t="s">
        <v>1243</v>
      </c>
      <c r="F637" s="126" t="s">
        <v>52</v>
      </c>
      <c r="G637" s="131"/>
      <c r="H637" s="122" t="s">
        <v>267</v>
      </c>
      <c r="I637" s="123" t="s">
        <v>1024</v>
      </c>
      <c r="J637" s="212"/>
      <c r="K637" s="212"/>
      <c r="L637" s="212"/>
      <c r="M637" s="213"/>
      <c r="N637" s="213"/>
      <c r="O637" s="214"/>
      <c r="P637" s="106" t="b">
        <f t="shared" si="31"/>
        <v>0</v>
      </c>
    </row>
    <row r="638" spans="1:16" x14ac:dyDescent="0.3">
      <c r="A638" s="124">
        <v>24</v>
      </c>
      <c r="B638" s="37" t="s">
        <v>1224</v>
      </c>
      <c r="C638" s="38">
        <v>20</v>
      </c>
      <c r="D638" s="125" t="s">
        <v>1216</v>
      </c>
      <c r="E638" s="123" t="s">
        <v>1244</v>
      </c>
      <c r="F638" s="126" t="s">
        <v>52</v>
      </c>
      <c r="G638" s="131"/>
      <c r="H638" s="122" t="s">
        <v>267</v>
      </c>
      <c r="I638" s="123" t="s">
        <v>1024</v>
      </c>
      <c r="J638" s="212" t="s">
        <v>1383</v>
      </c>
      <c r="K638" s="212"/>
      <c r="L638" s="212"/>
      <c r="M638" s="213"/>
      <c r="N638" s="213"/>
      <c r="O638" s="214"/>
      <c r="P638" s="106" t="b">
        <f t="shared" si="31"/>
        <v>1</v>
      </c>
    </row>
    <row r="639" spans="1:16" x14ac:dyDescent="0.3">
      <c r="A639" s="124">
        <v>24</v>
      </c>
      <c r="B639" s="37" t="s">
        <v>1224</v>
      </c>
      <c r="C639" s="38">
        <v>21</v>
      </c>
      <c r="D639" s="125" t="s">
        <v>1217</v>
      </c>
      <c r="E639" s="123" t="s">
        <v>1245</v>
      </c>
      <c r="F639" s="126" t="s">
        <v>52</v>
      </c>
      <c r="G639" s="131"/>
      <c r="H639" s="122" t="s">
        <v>267</v>
      </c>
      <c r="I639" s="123" t="s">
        <v>1024</v>
      </c>
      <c r="J639" s="212" t="s">
        <v>1383</v>
      </c>
      <c r="K639" s="212" t="s">
        <v>1383</v>
      </c>
      <c r="L639" s="212"/>
      <c r="M639" s="213"/>
      <c r="N639" s="213"/>
      <c r="O639" s="214"/>
      <c r="P639" s="106" t="b">
        <f t="shared" si="31"/>
        <v>1</v>
      </c>
    </row>
    <row r="640" spans="1:16" x14ac:dyDescent="0.3">
      <c r="A640" s="124">
        <v>24</v>
      </c>
      <c r="B640" s="37" t="s">
        <v>1224</v>
      </c>
      <c r="C640" s="38">
        <v>22</v>
      </c>
      <c r="D640" s="125" t="s">
        <v>1218</v>
      </c>
      <c r="E640" s="123" t="s">
        <v>1246</v>
      </c>
      <c r="F640" s="126" t="s">
        <v>52</v>
      </c>
      <c r="G640" s="131"/>
      <c r="H640" s="122" t="s">
        <v>267</v>
      </c>
      <c r="I640" s="123" t="s">
        <v>1024</v>
      </c>
      <c r="J640" s="212" t="s">
        <v>1383</v>
      </c>
      <c r="K640" s="212"/>
      <c r="L640" s="212"/>
      <c r="M640" s="213"/>
      <c r="N640" s="213"/>
      <c r="O640" s="214" t="s">
        <v>1383</v>
      </c>
      <c r="P640" s="106" t="b">
        <f t="shared" si="31"/>
        <v>1</v>
      </c>
    </row>
    <row r="641" spans="1:16" x14ac:dyDescent="0.3">
      <c r="A641" s="124">
        <v>24</v>
      </c>
      <c r="B641" s="37" t="s">
        <v>1224</v>
      </c>
      <c r="C641" s="38">
        <v>23</v>
      </c>
      <c r="D641" s="125" t="s">
        <v>1219</v>
      </c>
      <c r="E641" s="123" t="s">
        <v>1247</v>
      </c>
      <c r="F641" s="126" t="s">
        <v>52</v>
      </c>
      <c r="G641" s="131"/>
      <c r="H641" s="122" t="s">
        <v>314</v>
      </c>
      <c r="I641" s="123" t="s">
        <v>1050</v>
      </c>
      <c r="J641" s="212"/>
      <c r="K641" s="212" t="s">
        <v>1383</v>
      </c>
      <c r="L641" s="212"/>
      <c r="M641" s="213"/>
      <c r="N641" s="213"/>
      <c r="O641" s="214"/>
      <c r="P641" s="106" t="b">
        <f t="shared" si="31"/>
        <v>1</v>
      </c>
    </row>
    <row r="642" spans="1:16" x14ac:dyDescent="0.3">
      <c r="A642" s="124">
        <v>24</v>
      </c>
      <c r="B642" s="37" t="s">
        <v>1224</v>
      </c>
      <c r="C642" s="38">
        <v>24</v>
      </c>
      <c r="D642" s="125" t="s">
        <v>46</v>
      </c>
      <c r="E642" s="123" t="s">
        <v>1248</v>
      </c>
      <c r="F642" s="126" t="s">
        <v>52</v>
      </c>
      <c r="G642" s="131"/>
      <c r="H642" s="122" t="s">
        <v>314</v>
      </c>
      <c r="I642" s="123" t="s">
        <v>1050</v>
      </c>
      <c r="J642" s="212" t="s">
        <v>1383</v>
      </c>
      <c r="K642" s="212"/>
      <c r="L642" s="212"/>
      <c r="M642" s="213"/>
      <c r="N642" s="213"/>
      <c r="O642" s="214"/>
      <c r="P642" s="106" t="b">
        <f t="shared" si="31"/>
        <v>1</v>
      </c>
    </row>
    <row r="643" spans="1:16" x14ac:dyDescent="0.3">
      <c r="A643" s="124">
        <v>24</v>
      </c>
      <c r="B643" s="37" t="s">
        <v>1224</v>
      </c>
      <c r="C643" s="38">
        <v>25</v>
      </c>
      <c r="D643" s="125" t="s">
        <v>202</v>
      </c>
      <c r="E643" s="123" t="s">
        <v>1249</v>
      </c>
      <c r="F643" s="126" t="s">
        <v>52</v>
      </c>
      <c r="G643" s="131"/>
      <c r="H643" s="122" t="s">
        <v>314</v>
      </c>
      <c r="I643" s="123" t="s">
        <v>1050</v>
      </c>
      <c r="J643" s="212" t="s">
        <v>1383</v>
      </c>
      <c r="K643" s="212" t="s">
        <v>1383</v>
      </c>
      <c r="L643" s="212"/>
      <c r="M643" s="213"/>
      <c r="N643" s="213"/>
      <c r="O643" s="214"/>
      <c r="P643" s="106" t="b">
        <f t="shared" si="31"/>
        <v>1</v>
      </c>
    </row>
    <row r="644" spans="1:16" x14ac:dyDescent="0.3">
      <c r="A644" s="124">
        <v>24</v>
      </c>
      <c r="B644" s="37" t="s">
        <v>1224</v>
      </c>
      <c r="C644" s="38">
        <v>26</v>
      </c>
      <c r="D644" s="125" t="s">
        <v>1220</v>
      </c>
      <c r="E644" s="123" t="s">
        <v>1250</v>
      </c>
      <c r="F644" s="126" t="s">
        <v>52</v>
      </c>
      <c r="G644" s="131"/>
      <c r="H644" s="122" t="s">
        <v>267</v>
      </c>
      <c r="I644" s="123" t="s">
        <v>1024</v>
      </c>
      <c r="J644" s="212" t="s">
        <v>1383</v>
      </c>
      <c r="K644" s="212"/>
      <c r="L644" s="212"/>
      <c r="M644" s="213"/>
      <c r="N644" s="213"/>
      <c r="O644" s="214"/>
      <c r="P644" s="106" t="b">
        <f t="shared" si="31"/>
        <v>1</v>
      </c>
    </row>
    <row r="645" spans="1:16" x14ac:dyDescent="0.3">
      <c r="A645" s="124">
        <v>24</v>
      </c>
      <c r="B645" s="37" t="s">
        <v>1224</v>
      </c>
      <c r="C645" s="38">
        <v>27</v>
      </c>
      <c r="D645" s="125" t="s">
        <v>775</v>
      </c>
      <c r="E645" s="123" t="s">
        <v>1251</v>
      </c>
      <c r="F645" s="126" t="s">
        <v>52</v>
      </c>
      <c r="G645" s="131"/>
      <c r="H645" s="122" t="s">
        <v>267</v>
      </c>
      <c r="I645" s="123" t="s">
        <v>1024</v>
      </c>
      <c r="J645" s="212" t="s">
        <v>1383</v>
      </c>
      <c r="K645" s="212" t="s">
        <v>1383</v>
      </c>
      <c r="L645" s="212"/>
      <c r="M645" s="213"/>
      <c r="N645" s="213"/>
      <c r="O645" s="214"/>
      <c r="P645" s="106" t="b">
        <f t="shared" si="31"/>
        <v>1</v>
      </c>
    </row>
    <row r="646" spans="1:16" x14ac:dyDescent="0.3">
      <c r="A646" s="124">
        <v>24</v>
      </c>
      <c r="B646" s="37" t="s">
        <v>1224</v>
      </c>
      <c r="C646" s="38">
        <v>28</v>
      </c>
      <c r="D646" s="125" t="s">
        <v>1148</v>
      </c>
      <c r="E646" s="123" t="s">
        <v>1252</v>
      </c>
      <c r="F646" s="126" t="s">
        <v>52</v>
      </c>
      <c r="G646" s="131"/>
      <c r="H646" s="122" t="s">
        <v>314</v>
      </c>
      <c r="I646" s="123" t="s">
        <v>1050</v>
      </c>
      <c r="J646" s="212" t="s">
        <v>1383</v>
      </c>
      <c r="K646" s="212"/>
      <c r="L646" s="212"/>
      <c r="M646" s="213"/>
      <c r="N646" s="213"/>
      <c r="O646" s="214"/>
      <c r="P646" s="106" t="b">
        <f t="shared" si="31"/>
        <v>1</v>
      </c>
    </row>
    <row r="647" spans="1:16" x14ac:dyDescent="0.3">
      <c r="A647" s="124">
        <v>24</v>
      </c>
      <c r="B647" s="37" t="s">
        <v>1224</v>
      </c>
      <c r="C647" s="38">
        <v>29</v>
      </c>
      <c r="D647" s="125" t="s">
        <v>1221</v>
      </c>
      <c r="E647" s="123" t="s">
        <v>1253</v>
      </c>
      <c r="F647" s="126" t="s">
        <v>52</v>
      </c>
      <c r="G647" s="131"/>
      <c r="H647" s="122" t="s">
        <v>267</v>
      </c>
      <c r="I647" s="123" t="s">
        <v>1024</v>
      </c>
      <c r="J647" s="212" t="s">
        <v>1383</v>
      </c>
      <c r="K647" s="212"/>
      <c r="L647" s="212"/>
      <c r="M647" s="213"/>
      <c r="N647" s="213"/>
      <c r="O647" s="214"/>
      <c r="P647" s="106" t="b">
        <f t="shared" si="31"/>
        <v>1</v>
      </c>
    </row>
    <row r="648" spans="1:16" x14ac:dyDescent="0.3">
      <c r="A648" s="124">
        <v>24</v>
      </c>
      <c r="B648" s="37" t="s">
        <v>1224</v>
      </c>
      <c r="C648" s="38">
        <v>30</v>
      </c>
      <c r="D648" s="125" t="s">
        <v>1222</v>
      </c>
      <c r="E648" s="123" t="s">
        <v>1254</v>
      </c>
      <c r="F648" s="126" t="s">
        <v>52</v>
      </c>
      <c r="G648" s="131"/>
      <c r="H648" s="122" t="s">
        <v>267</v>
      </c>
      <c r="I648" s="123" t="s">
        <v>1024</v>
      </c>
      <c r="J648" s="212" t="s">
        <v>1383</v>
      </c>
      <c r="K648" s="212"/>
      <c r="L648" s="212"/>
      <c r="M648" s="213"/>
      <c r="N648" s="213"/>
      <c r="O648" s="214"/>
      <c r="P648" s="106" t="b">
        <f t="shared" ref="P648:P649" si="34">IF(COUNTA(J648:O648)=0,FALSE,TRUE)</f>
        <v>1</v>
      </c>
    </row>
    <row r="649" spans="1:16" ht="19.5" thickBot="1" x14ac:dyDescent="0.35">
      <c r="A649" s="124">
        <v>24</v>
      </c>
      <c r="B649" s="37" t="s">
        <v>1224</v>
      </c>
      <c r="C649" s="38">
        <v>31</v>
      </c>
      <c r="D649" s="125" t="s">
        <v>1223</v>
      </c>
      <c r="E649" s="123" t="s">
        <v>1255</v>
      </c>
      <c r="F649" s="126" t="s">
        <v>52</v>
      </c>
      <c r="G649" s="131"/>
      <c r="H649" s="122" t="s">
        <v>314</v>
      </c>
      <c r="I649" s="123" t="s">
        <v>1050</v>
      </c>
      <c r="J649" s="212"/>
      <c r="K649" s="212"/>
      <c r="L649" s="212"/>
      <c r="M649" s="213"/>
      <c r="N649" s="213"/>
      <c r="O649" s="214"/>
      <c r="P649" s="106" t="b">
        <f t="shared" si="34"/>
        <v>0</v>
      </c>
    </row>
    <row r="650" spans="1:16" ht="19.5" hidden="1" thickBot="1" x14ac:dyDescent="0.3">
      <c r="A650" s="177">
        <v>24</v>
      </c>
      <c r="B650" s="178" t="s">
        <v>1224</v>
      </c>
      <c r="C650" s="179">
        <f>COUNTA(C619:C649)</f>
        <v>31</v>
      </c>
      <c r="D650" s="180" t="s">
        <v>1</v>
      </c>
      <c r="E650" s="180" t="s">
        <v>1374</v>
      </c>
      <c r="F650" s="179">
        <f>COUNTA(F619:F649)</f>
        <v>31</v>
      </c>
      <c r="G650" s="179">
        <f>COUNTA(G619:G649)</f>
        <v>0</v>
      </c>
      <c r="H650" s="302" t="s">
        <v>3</v>
      </c>
      <c r="I650" s="303"/>
      <c r="J650" s="109">
        <f>COUNTA(J619:J649)</f>
        <v>21</v>
      </c>
      <c r="K650" s="109">
        <f t="shared" ref="K650:O650" si="35">COUNTA(K619:K649)</f>
        <v>5</v>
      </c>
      <c r="L650" s="109">
        <f t="shared" si="35"/>
        <v>1</v>
      </c>
      <c r="M650" s="109">
        <f t="shared" si="35"/>
        <v>0</v>
      </c>
      <c r="N650" s="109">
        <f t="shared" si="35"/>
        <v>0</v>
      </c>
      <c r="O650" s="110">
        <f t="shared" si="35"/>
        <v>1</v>
      </c>
      <c r="P650" s="108">
        <f>COUNTIF(P619:P649,TRUE)</f>
        <v>22</v>
      </c>
    </row>
    <row r="651" spans="1:16" x14ac:dyDescent="0.3">
      <c r="A651" s="119">
        <v>25</v>
      </c>
      <c r="B651" s="41" t="s">
        <v>1272</v>
      </c>
      <c r="C651" s="44">
        <v>1</v>
      </c>
      <c r="D651" s="150" t="s">
        <v>1256</v>
      </c>
      <c r="E651" s="153" t="s">
        <v>1273</v>
      </c>
      <c r="F651" s="151" t="s">
        <v>52</v>
      </c>
      <c r="G651" s="168"/>
      <c r="H651" s="152" t="s">
        <v>413</v>
      </c>
      <c r="I651" s="153" t="s">
        <v>412</v>
      </c>
      <c r="J651" s="218" t="s">
        <v>1383</v>
      </c>
      <c r="K651" s="218"/>
      <c r="L651" s="218"/>
      <c r="M651" s="219"/>
      <c r="N651" s="219"/>
      <c r="O651" s="220"/>
      <c r="P651" s="106" t="b">
        <f t="shared" ref="P651:P709" si="36">IF(COUNTA(J651:O651)=0,FALSE,TRUE)</f>
        <v>1</v>
      </c>
    </row>
    <row r="652" spans="1:16" x14ac:dyDescent="0.3">
      <c r="A652" s="124">
        <v>25</v>
      </c>
      <c r="B652" s="37" t="s">
        <v>1272</v>
      </c>
      <c r="C652" s="38">
        <v>2</v>
      </c>
      <c r="D652" s="125" t="s">
        <v>1257</v>
      </c>
      <c r="E652" s="123" t="s">
        <v>1274</v>
      </c>
      <c r="F652" s="131"/>
      <c r="G652" s="128" t="s">
        <v>53</v>
      </c>
      <c r="H652" s="122" t="s">
        <v>519</v>
      </c>
      <c r="I652" s="123" t="s">
        <v>610</v>
      </c>
      <c r="J652" s="212"/>
      <c r="K652" s="212"/>
      <c r="L652" s="212"/>
      <c r="M652" s="213"/>
      <c r="N652" s="213"/>
      <c r="O652" s="214"/>
      <c r="P652" s="106" t="b">
        <f t="shared" si="36"/>
        <v>0</v>
      </c>
    </row>
    <row r="653" spans="1:16" x14ac:dyDescent="0.3">
      <c r="A653" s="124">
        <v>25</v>
      </c>
      <c r="B653" s="37" t="s">
        <v>1272</v>
      </c>
      <c r="C653" s="38">
        <v>3</v>
      </c>
      <c r="D653" s="125" t="s">
        <v>1258</v>
      </c>
      <c r="E653" s="123" t="s">
        <v>1275</v>
      </c>
      <c r="F653" s="126" t="s">
        <v>52</v>
      </c>
      <c r="G653" s="131"/>
      <c r="H653" s="122" t="s">
        <v>413</v>
      </c>
      <c r="I653" s="123" t="s">
        <v>412</v>
      </c>
      <c r="J653" s="212"/>
      <c r="K653" s="212"/>
      <c r="L653" s="212"/>
      <c r="M653" s="213"/>
      <c r="N653" s="213"/>
      <c r="O653" s="214"/>
      <c r="P653" s="106" t="b">
        <f t="shared" si="36"/>
        <v>0</v>
      </c>
    </row>
    <row r="654" spans="1:16" x14ac:dyDescent="0.3">
      <c r="A654" s="124">
        <v>25</v>
      </c>
      <c r="B654" s="37" t="s">
        <v>1272</v>
      </c>
      <c r="C654" s="38">
        <v>4</v>
      </c>
      <c r="D654" s="125" t="s">
        <v>1259</v>
      </c>
      <c r="E654" s="123" t="s">
        <v>1276</v>
      </c>
      <c r="F654" s="126" t="s">
        <v>52</v>
      </c>
      <c r="G654" s="131"/>
      <c r="H654" s="122" t="s">
        <v>519</v>
      </c>
      <c r="I654" s="123" t="s">
        <v>610</v>
      </c>
      <c r="J654" s="212" t="s">
        <v>1383</v>
      </c>
      <c r="K654" s="212"/>
      <c r="L654" s="212"/>
      <c r="M654" s="213"/>
      <c r="N654" s="213"/>
      <c r="O654" s="214"/>
      <c r="P654" s="106" t="b">
        <f t="shared" si="36"/>
        <v>1</v>
      </c>
    </row>
    <row r="655" spans="1:16" x14ac:dyDescent="0.3">
      <c r="A655" s="124">
        <v>25</v>
      </c>
      <c r="B655" s="37" t="s">
        <v>1272</v>
      </c>
      <c r="C655" s="38">
        <v>5</v>
      </c>
      <c r="D655" s="125" t="s">
        <v>1260</v>
      </c>
      <c r="E655" s="123" t="s">
        <v>1277</v>
      </c>
      <c r="F655" s="131"/>
      <c r="G655" s="128" t="s">
        <v>53</v>
      </c>
      <c r="H655" s="122" t="s">
        <v>413</v>
      </c>
      <c r="I655" s="123" t="s">
        <v>412</v>
      </c>
      <c r="J655" s="212"/>
      <c r="K655" s="212"/>
      <c r="L655" s="212"/>
      <c r="M655" s="213"/>
      <c r="N655" s="213"/>
      <c r="O655" s="214"/>
      <c r="P655" s="106" t="b">
        <f t="shared" si="36"/>
        <v>0</v>
      </c>
    </row>
    <row r="656" spans="1:16" x14ac:dyDescent="0.3">
      <c r="A656" s="124">
        <v>25</v>
      </c>
      <c r="B656" s="37" t="s">
        <v>1272</v>
      </c>
      <c r="C656" s="38">
        <v>6</v>
      </c>
      <c r="D656" s="125" t="s">
        <v>1261</v>
      </c>
      <c r="E656" s="123" t="s">
        <v>1278</v>
      </c>
      <c r="F656" s="131"/>
      <c r="G656" s="128" t="s">
        <v>53</v>
      </c>
      <c r="H656" s="122" t="s">
        <v>519</v>
      </c>
      <c r="I656" s="123" t="s">
        <v>610</v>
      </c>
      <c r="J656" s="212"/>
      <c r="K656" s="212"/>
      <c r="L656" s="212"/>
      <c r="M656" s="213"/>
      <c r="N656" s="213"/>
      <c r="O656" s="214"/>
      <c r="P656" s="106" t="b">
        <f t="shared" si="36"/>
        <v>0</v>
      </c>
    </row>
    <row r="657" spans="1:16" x14ac:dyDescent="0.3">
      <c r="A657" s="124">
        <v>25</v>
      </c>
      <c r="B657" s="37" t="s">
        <v>1272</v>
      </c>
      <c r="C657" s="38">
        <v>7</v>
      </c>
      <c r="D657" s="125" t="s">
        <v>1262</v>
      </c>
      <c r="E657" s="123" t="s">
        <v>1279</v>
      </c>
      <c r="F657" s="126" t="s">
        <v>52</v>
      </c>
      <c r="G657" s="128"/>
      <c r="H657" s="122" t="s">
        <v>519</v>
      </c>
      <c r="I657" s="123" t="s">
        <v>610</v>
      </c>
      <c r="J657" s="212" t="s">
        <v>1383</v>
      </c>
      <c r="K657" s="212"/>
      <c r="L657" s="212"/>
      <c r="M657" s="213"/>
      <c r="N657" s="213"/>
      <c r="O657" s="214"/>
      <c r="P657" s="106" t="b">
        <f t="shared" si="36"/>
        <v>1</v>
      </c>
    </row>
    <row r="658" spans="1:16" x14ac:dyDescent="0.3">
      <c r="A658" s="124">
        <v>25</v>
      </c>
      <c r="B658" s="37" t="s">
        <v>1272</v>
      </c>
      <c r="C658" s="38">
        <v>8</v>
      </c>
      <c r="D658" s="125" t="s">
        <v>1292</v>
      </c>
      <c r="E658" s="123" t="s">
        <v>1280</v>
      </c>
      <c r="F658" s="126" t="s">
        <v>52</v>
      </c>
      <c r="G658" s="131"/>
      <c r="H658" s="122" t="s">
        <v>413</v>
      </c>
      <c r="I658" s="123" t="s">
        <v>412</v>
      </c>
      <c r="J658" s="212" t="s">
        <v>1383</v>
      </c>
      <c r="K658" s="212"/>
      <c r="L658" s="212"/>
      <c r="M658" s="213"/>
      <c r="N658" s="212" t="s">
        <v>1383</v>
      </c>
      <c r="O658" s="214"/>
      <c r="P658" s="106" t="b">
        <f t="shared" si="36"/>
        <v>1</v>
      </c>
    </row>
    <row r="659" spans="1:16" x14ac:dyDescent="0.3">
      <c r="A659" s="124">
        <v>25</v>
      </c>
      <c r="B659" s="37" t="s">
        <v>1272</v>
      </c>
      <c r="C659" s="38">
        <v>9</v>
      </c>
      <c r="D659" s="125" t="s">
        <v>1263</v>
      </c>
      <c r="E659" s="123" t="s">
        <v>1281</v>
      </c>
      <c r="F659" s="126" t="s">
        <v>52</v>
      </c>
      <c r="G659" s="128"/>
      <c r="H659" s="122" t="s">
        <v>519</v>
      </c>
      <c r="I659" s="123" t="s">
        <v>610</v>
      </c>
      <c r="J659" s="212" t="s">
        <v>1383</v>
      </c>
      <c r="K659" s="212" t="s">
        <v>1383</v>
      </c>
      <c r="L659" s="212"/>
      <c r="M659" s="213"/>
      <c r="N659" s="213"/>
      <c r="O659" s="214"/>
      <c r="P659" s="106" t="b">
        <f t="shared" si="36"/>
        <v>1</v>
      </c>
    </row>
    <row r="660" spans="1:16" x14ac:dyDescent="0.3">
      <c r="A660" s="124">
        <v>25</v>
      </c>
      <c r="B660" s="37" t="s">
        <v>1272</v>
      </c>
      <c r="C660" s="38">
        <v>10</v>
      </c>
      <c r="D660" s="125" t="s">
        <v>1264</v>
      </c>
      <c r="E660" s="123" t="s">
        <v>1282</v>
      </c>
      <c r="F660" s="131"/>
      <c r="G660" s="128" t="s">
        <v>53</v>
      </c>
      <c r="H660" s="122" t="s">
        <v>413</v>
      </c>
      <c r="I660" s="123" t="s">
        <v>412</v>
      </c>
      <c r="J660" s="212"/>
      <c r="K660" s="212"/>
      <c r="L660" s="212"/>
      <c r="M660" s="213"/>
      <c r="N660" s="213"/>
      <c r="O660" s="214"/>
      <c r="P660" s="106" t="b">
        <f t="shared" si="36"/>
        <v>0</v>
      </c>
    </row>
    <row r="661" spans="1:16" x14ac:dyDescent="0.3">
      <c r="A661" s="124">
        <v>25</v>
      </c>
      <c r="B661" s="37" t="s">
        <v>1272</v>
      </c>
      <c r="C661" s="38">
        <v>11</v>
      </c>
      <c r="D661" s="125" t="s">
        <v>1265</v>
      </c>
      <c r="E661" s="123" t="s">
        <v>1283</v>
      </c>
      <c r="F661" s="126" t="s">
        <v>52</v>
      </c>
      <c r="G661" s="131"/>
      <c r="H661" s="122" t="s">
        <v>1293</v>
      </c>
      <c r="I661" s="123" t="s">
        <v>1290</v>
      </c>
      <c r="J661" s="212"/>
      <c r="K661" s="212"/>
      <c r="L661" s="212"/>
      <c r="M661" s="213"/>
      <c r="N661" s="213"/>
      <c r="O661" s="214"/>
      <c r="P661" s="106" t="b">
        <f t="shared" si="36"/>
        <v>0</v>
      </c>
    </row>
    <row r="662" spans="1:16" x14ac:dyDescent="0.3">
      <c r="A662" s="124">
        <v>25</v>
      </c>
      <c r="B662" s="37" t="s">
        <v>1272</v>
      </c>
      <c r="C662" s="38">
        <v>12</v>
      </c>
      <c r="D662" s="125" t="s">
        <v>1294</v>
      </c>
      <c r="E662" s="123" t="s">
        <v>1284</v>
      </c>
      <c r="F662" s="131"/>
      <c r="G662" s="128" t="s">
        <v>53</v>
      </c>
      <c r="H662" s="122" t="s">
        <v>519</v>
      </c>
      <c r="I662" s="123" t="s">
        <v>610</v>
      </c>
      <c r="J662" s="212"/>
      <c r="K662" s="212"/>
      <c r="L662" s="212"/>
      <c r="M662" s="213"/>
      <c r="N662" s="213"/>
      <c r="O662" s="214"/>
      <c r="P662" s="106" t="b">
        <f t="shared" si="36"/>
        <v>0</v>
      </c>
    </row>
    <row r="663" spans="1:16" x14ac:dyDescent="0.3">
      <c r="A663" s="124">
        <v>25</v>
      </c>
      <c r="B663" s="37" t="s">
        <v>1272</v>
      </c>
      <c r="C663" s="38">
        <v>13</v>
      </c>
      <c r="D663" s="125" t="s">
        <v>1266</v>
      </c>
      <c r="E663" s="123" t="s">
        <v>1285</v>
      </c>
      <c r="F663" s="126" t="s">
        <v>52</v>
      </c>
      <c r="G663" s="131"/>
      <c r="H663" s="122" t="s">
        <v>519</v>
      </c>
      <c r="I663" s="123" t="s">
        <v>610</v>
      </c>
      <c r="J663" s="212"/>
      <c r="K663" s="212"/>
      <c r="L663" s="212"/>
      <c r="M663" s="213"/>
      <c r="N663" s="213"/>
      <c r="O663" s="214"/>
      <c r="P663" s="106" t="b">
        <f t="shared" si="36"/>
        <v>0</v>
      </c>
    </row>
    <row r="664" spans="1:16" x14ac:dyDescent="0.3">
      <c r="A664" s="124">
        <v>25</v>
      </c>
      <c r="B664" s="37" t="s">
        <v>1272</v>
      </c>
      <c r="C664" s="38">
        <v>14</v>
      </c>
      <c r="D664" s="125" t="s">
        <v>1267</v>
      </c>
      <c r="E664" s="123" t="s">
        <v>1286</v>
      </c>
      <c r="F664" s="131"/>
      <c r="G664" s="128" t="s">
        <v>53</v>
      </c>
      <c r="H664" s="122" t="s">
        <v>519</v>
      </c>
      <c r="I664" s="123" t="s">
        <v>610</v>
      </c>
      <c r="J664" s="212"/>
      <c r="K664" s="212"/>
      <c r="L664" s="212"/>
      <c r="M664" s="213"/>
      <c r="N664" s="213"/>
      <c r="O664" s="214"/>
      <c r="P664" s="106" t="b">
        <f t="shared" si="36"/>
        <v>0</v>
      </c>
    </row>
    <row r="665" spans="1:16" x14ac:dyDescent="0.3">
      <c r="A665" s="124">
        <v>25</v>
      </c>
      <c r="B665" s="37" t="s">
        <v>1272</v>
      </c>
      <c r="C665" s="38">
        <v>15</v>
      </c>
      <c r="D665" s="125" t="s">
        <v>1268</v>
      </c>
      <c r="E665" s="123" t="s">
        <v>1287</v>
      </c>
      <c r="F665" s="126" t="s">
        <v>52</v>
      </c>
      <c r="G665" s="131"/>
      <c r="H665" s="122" t="s">
        <v>1293</v>
      </c>
      <c r="I665" s="123" t="s">
        <v>1290</v>
      </c>
      <c r="J665" s="212" t="s">
        <v>1383</v>
      </c>
      <c r="K665" s="212"/>
      <c r="L665" s="212"/>
      <c r="M665" s="213"/>
      <c r="N665" s="213"/>
      <c r="O665" s="214"/>
      <c r="P665" s="106" t="b">
        <f t="shared" si="36"/>
        <v>1</v>
      </c>
    </row>
    <row r="666" spans="1:16" x14ac:dyDescent="0.3">
      <c r="A666" s="124">
        <v>25</v>
      </c>
      <c r="B666" s="37" t="s">
        <v>1272</v>
      </c>
      <c r="C666" s="38">
        <v>16</v>
      </c>
      <c r="D666" s="125" t="s">
        <v>1269</v>
      </c>
      <c r="E666" s="123" t="s">
        <v>1288</v>
      </c>
      <c r="F666" s="126" t="s">
        <v>52</v>
      </c>
      <c r="G666" s="131"/>
      <c r="H666" s="122" t="s">
        <v>519</v>
      </c>
      <c r="I666" s="123" t="s">
        <v>610</v>
      </c>
      <c r="J666" s="212" t="s">
        <v>1383</v>
      </c>
      <c r="K666" s="212"/>
      <c r="L666" s="212"/>
      <c r="M666" s="213"/>
      <c r="N666" s="213"/>
      <c r="O666" s="214" t="s">
        <v>1383</v>
      </c>
      <c r="P666" s="106" t="b">
        <f t="shared" si="36"/>
        <v>1</v>
      </c>
    </row>
    <row r="667" spans="1:16" x14ac:dyDescent="0.3">
      <c r="A667" s="124">
        <v>25</v>
      </c>
      <c r="B667" s="37" t="s">
        <v>1272</v>
      </c>
      <c r="C667" s="38">
        <v>17</v>
      </c>
      <c r="D667" s="125" t="s">
        <v>1270</v>
      </c>
      <c r="E667" s="123" t="s">
        <v>1289</v>
      </c>
      <c r="F667" s="126" t="s">
        <v>52</v>
      </c>
      <c r="G667" s="131"/>
      <c r="H667" s="122" t="s">
        <v>519</v>
      </c>
      <c r="I667" s="123" t="s">
        <v>610</v>
      </c>
      <c r="J667" s="212" t="s">
        <v>1383</v>
      </c>
      <c r="K667" s="212"/>
      <c r="L667" s="212"/>
      <c r="M667" s="213"/>
      <c r="N667" s="213"/>
      <c r="O667" s="214"/>
      <c r="P667" s="106" t="b">
        <f t="shared" si="36"/>
        <v>1</v>
      </c>
    </row>
    <row r="668" spans="1:16" ht="19.5" thickBot="1" x14ac:dyDescent="0.35">
      <c r="A668" s="132">
        <v>25</v>
      </c>
      <c r="B668" s="39" t="s">
        <v>1272</v>
      </c>
      <c r="C668" s="45">
        <v>18</v>
      </c>
      <c r="D668" s="156" t="s">
        <v>1271</v>
      </c>
      <c r="E668" s="159" t="s">
        <v>1290</v>
      </c>
      <c r="F668" s="157" t="s">
        <v>52</v>
      </c>
      <c r="G668" s="174"/>
      <c r="H668" s="158" t="s">
        <v>519</v>
      </c>
      <c r="I668" s="159" t="s">
        <v>610</v>
      </c>
      <c r="J668" s="221" t="s">
        <v>1383</v>
      </c>
      <c r="K668" s="221"/>
      <c r="L668" s="221"/>
      <c r="M668" s="222"/>
      <c r="N668" s="222"/>
      <c r="O668" s="223"/>
      <c r="P668" s="106" t="b">
        <f t="shared" si="36"/>
        <v>1</v>
      </c>
    </row>
    <row r="669" spans="1:16" ht="19.5" hidden="1" thickBot="1" x14ac:dyDescent="0.3">
      <c r="A669" s="188">
        <v>25</v>
      </c>
      <c r="B669" s="189" t="s">
        <v>1272</v>
      </c>
      <c r="C669" s="190">
        <f>COUNTA(C651:C668)</f>
        <v>18</v>
      </c>
      <c r="D669" s="191" t="s">
        <v>1</v>
      </c>
      <c r="E669" s="191" t="s">
        <v>1374</v>
      </c>
      <c r="F669" s="190">
        <f>COUNTA(F651:F668)</f>
        <v>12</v>
      </c>
      <c r="G669" s="190">
        <f>COUNTA(G651:G668)</f>
        <v>6</v>
      </c>
      <c r="H669" s="298" t="s">
        <v>3</v>
      </c>
      <c r="I669" s="299"/>
      <c r="J669" s="115">
        <f t="shared" ref="J669:O669" si="37">COUNTA(J651:J668)</f>
        <v>9</v>
      </c>
      <c r="K669" s="115">
        <f t="shared" si="37"/>
        <v>1</v>
      </c>
      <c r="L669" s="115">
        <f t="shared" si="37"/>
        <v>0</v>
      </c>
      <c r="M669" s="115">
        <f t="shared" si="37"/>
        <v>0</v>
      </c>
      <c r="N669" s="115">
        <f t="shared" si="37"/>
        <v>1</v>
      </c>
      <c r="O669" s="116">
        <f t="shared" si="37"/>
        <v>1</v>
      </c>
      <c r="P669" s="108">
        <f>COUNTIF(P651:P668,TRUE)</f>
        <v>9</v>
      </c>
    </row>
    <row r="670" spans="1:16" x14ac:dyDescent="0.3">
      <c r="A670" s="119">
        <v>26</v>
      </c>
      <c r="B670" s="41" t="s">
        <v>1314</v>
      </c>
      <c r="C670" s="44">
        <v>1</v>
      </c>
      <c r="D670" s="150" t="s">
        <v>1295</v>
      </c>
      <c r="E670" s="153" t="s">
        <v>1315</v>
      </c>
      <c r="F670" s="151" t="s">
        <v>52</v>
      </c>
      <c r="G670" s="168"/>
      <c r="H670" s="152" t="s">
        <v>413</v>
      </c>
      <c r="I670" s="153" t="s">
        <v>412</v>
      </c>
      <c r="J670" s="218"/>
      <c r="K670" s="218"/>
      <c r="L670" s="218"/>
      <c r="M670" s="219"/>
      <c r="N670" s="219"/>
      <c r="O670" s="220"/>
      <c r="P670" s="106" t="b">
        <f t="shared" si="36"/>
        <v>0</v>
      </c>
    </row>
    <row r="671" spans="1:16" x14ac:dyDescent="0.3">
      <c r="A671" s="124">
        <v>26</v>
      </c>
      <c r="B671" s="37" t="s">
        <v>1314</v>
      </c>
      <c r="C671" s="38">
        <v>2</v>
      </c>
      <c r="D671" s="125" t="s">
        <v>1296</v>
      </c>
      <c r="E671" s="123" t="s">
        <v>1316</v>
      </c>
      <c r="F671" s="131"/>
      <c r="G671" s="128" t="s">
        <v>53</v>
      </c>
      <c r="H671" s="154" t="s">
        <v>1341</v>
      </c>
      <c r="I671" s="155" t="s">
        <v>1340</v>
      </c>
      <c r="J671" s="212"/>
      <c r="K671" s="212"/>
      <c r="L671" s="212"/>
      <c r="M671" s="213"/>
      <c r="N671" s="213"/>
      <c r="O671" s="214"/>
      <c r="P671" s="106" t="b">
        <f t="shared" si="36"/>
        <v>0</v>
      </c>
    </row>
    <row r="672" spans="1:16" x14ac:dyDescent="0.3">
      <c r="A672" s="124">
        <v>26</v>
      </c>
      <c r="B672" s="37" t="s">
        <v>1314</v>
      </c>
      <c r="C672" s="38">
        <v>3</v>
      </c>
      <c r="D672" s="125" t="s">
        <v>528</v>
      </c>
      <c r="E672" s="123" t="s">
        <v>1317</v>
      </c>
      <c r="F672" s="131"/>
      <c r="G672" s="128" t="s">
        <v>53</v>
      </c>
      <c r="H672" s="154" t="s">
        <v>1341</v>
      </c>
      <c r="I672" s="155" t="s">
        <v>1340</v>
      </c>
      <c r="J672" s="212"/>
      <c r="K672" s="212"/>
      <c r="L672" s="212"/>
      <c r="M672" s="213"/>
      <c r="N672" s="213"/>
      <c r="O672" s="214"/>
      <c r="P672" s="106" t="b">
        <f t="shared" si="36"/>
        <v>0</v>
      </c>
    </row>
    <row r="673" spans="1:16" x14ac:dyDescent="0.3">
      <c r="A673" s="124">
        <v>26</v>
      </c>
      <c r="B673" s="37" t="s">
        <v>1314</v>
      </c>
      <c r="C673" s="38">
        <v>4</v>
      </c>
      <c r="D673" s="125" t="s">
        <v>1297</v>
      </c>
      <c r="E673" s="123" t="s">
        <v>1318</v>
      </c>
      <c r="F673" s="126" t="s">
        <v>52</v>
      </c>
      <c r="G673" s="131"/>
      <c r="H673" s="122" t="s">
        <v>262</v>
      </c>
      <c r="I673" s="123" t="s">
        <v>1291</v>
      </c>
      <c r="J673" s="212" t="s">
        <v>1383</v>
      </c>
      <c r="K673" s="212" t="s">
        <v>1383</v>
      </c>
      <c r="L673" s="212"/>
      <c r="M673" s="213"/>
      <c r="N673" s="213"/>
      <c r="O673" s="214"/>
      <c r="P673" s="106" t="b">
        <f t="shared" si="36"/>
        <v>1</v>
      </c>
    </row>
    <row r="674" spans="1:16" x14ac:dyDescent="0.3">
      <c r="A674" s="124">
        <v>26</v>
      </c>
      <c r="B674" s="37" t="s">
        <v>1314</v>
      </c>
      <c r="C674" s="38">
        <v>5</v>
      </c>
      <c r="D674" s="125" t="s">
        <v>148</v>
      </c>
      <c r="E674" s="123" t="s">
        <v>1319</v>
      </c>
      <c r="F674" s="131"/>
      <c r="G674" s="128" t="s">
        <v>53</v>
      </c>
      <c r="H674" s="154" t="s">
        <v>1341</v>
      </c>
      <c r="I674" s="155" t="s">
        <v>1340</v>
      </c>
      <c r="J674" s="212"/>
      <c r="K674" s="212"/>
      <c r="L674" s="212"/>
      <c r="M674" s="213"/>
      <c r="N674" s="213"/>
      <c r="O674" s="214"/>
      <c r="P674" s="106" t="b">
        <f t="shared" si="36"/>
        <v>0</v>
      </c>
    </row>
    <row r="675" spans="1:16" x14ac:dyDescent="0.3">
      <c r="A675" s="124">
        <v>26</v>
      </c>
      <c r="B675" s="37" t="s">
        <v>1314</v>
      </c>
      <c r="C675" s="38">
        <v>6</v>
      </c>
      <c r="D675" s="125" t="s">
        <v>1298</v>
      </c>
      <c r="E675" s="123" t="s">
        <v>1320</v>
      </c>
      <c r="F675" s="126" t="s">
        <v>52</v>
      </c>
      <c r="G675" s="131"/>
      <c r="H675" s="122" t="s">
        <v>413</v>
      </c>
      <c r="I675" s="123" t="s">
        <v>412</v>
      </c>
      <c r="J675" s="212" t="s">
        <v>1383</v>
      </c>
      <c r="K675" s="212"/>
      <c r="L675" s="212"/>
      <c r="M675" s="213"/>
      <c r="N675" s="213"/>
      <c r="O675" s="214"/>
      <c r="P675" s="106" t="b">
        <f t="shared" si="36"/>
        <v>1</v>
      </c>
    </row>
    <row r="676" spans="1:16" x14ac:dyDescent="0.3">
      <c r="A676" s="124">
        <v>26</v>
      </c>
      <c r="B676" s="37" t="s">
        <v>1314</v>
      </c>
      <c r="C676" s="38">
        <v>7</v>
      </c>
      <c r="D676" s="125" t="s">
        <v>1059</v>
      </c>
      <c r="E676" s="123" t="s">
        <v>1321</v>
      </c>
      <c r="F676" s="126" t="s">
        <v>52</v>
      </c>
      <c r="G676" s="131"/>
      <c r="H676" s="122" t="s">
        <v>262</v>
      </c>
      <c r="I676" s="123" t="s">
        <v>1291</v>
      </c>
      <c r="J676" s="212" t="s">
        <v>1383</v>
      </c>
      <c r="K676" s="212" t="s">
        <v>1383</v>
      </c>
      <c r="L676" s="212"/>
      <c r="M676" s="213"/>
      <c r="N676" s="213"/>
      <c r="O676" s="214"/>
      <c r="P676" s="106" t="b">
        <f t="shared" si="36"/>
        <v>1</v>
      </c>
    </row>
    <row r="677" spans="1:16" x14ac:dyDescent="0.3">
      <c r="A677" s="124">
        <v>26</v>
      </c>
      <c r="B677" s="37" t="s">
        <v>1314</v>
      </c>
      <c r="C677" s="38">
        <v>8</v>
      </c>
      <c r="D677" s="125" t="s">
        <v>34</v>
      </c>
      <c r="E677" s="123" t="s">
        <v>1322</v>
      </c>
      <c r="F677" s="126" t="s">
        <v>52</v>
      </c>
      <c r="G677" s="131"/>
      <c r="H677" s="122" t="s">
        <v>413</v>
      </c>
      <c r="I677" s="123" t="s">
        <v>412</v>
      </c>
      <c r="J677" s="212"/>
      <c r="K677" s="212"/>
      <c r="L677" s="212"/>
      <c r="M677" s="213"/>
      <c r="N677" s="213"/>
      <c r="O677" s="214"/>
      <c r="P677" s="106" t="b">
        <f t="shared" si="36"/>
        <v>0</v>
      </c>
    </row>
    <row r="678" spans="1:16" x14ac:dyDescent="0.3">
      <c r="A678" s="124">
        <v>26</v>
      </c>
      <c r="B678" s="37" t="s">
        <v>1314</v>
      </c>
      <c r="C678" s="38">
        <v>9</v>
      </c>
      <c r="D678" s="125" t="s">
        <v>1299</v>
      </c>
      <c r="E678" s="123" t="s">
        <v>1323</v>
      </c>
      <c r="F678" s="126" t="s">
        <v>52</v>
      </c>
      <c r="G678" s="131"/>
      <c r="H678" s="122" t="s">
        <v>413</v>
      </c>
      <c r="I678" s="123" t="s">
        <v>412</v>
      </c>
      <c r="J678" s="212"/>
      <c r="K678" s="212"/>
      <c r="L678" s="212"/>
      <c r="M678" s="213"/>
      <c r="N678" s="213"/>
      <c r="O678" s="214"/>
      <c r="P678" s="106" t="b">
        <f t="shared" si="36"/>
        <v>0</v>
      </c>
    </row>
    <row r="679" spans="1:16" x14ac:dyDescent="0.3">
      <c r="A679" s="124">
        <v>26</v>
      </c>
      <c r="B679" s="37" t="s">
        <v>1314</v>
      </c>
      <c r="C679" s="38">
        <v>10</v>
      </c>
      <c r="D679" s="125" t="s">
        <v>1300</v>
      </c>
      <c r="E679" s="123" t="s">
        <v>1324</v>
      </c>
      <c r="F679" s="126" t="s">
        <v>52</v>
      </c>
      <c r="G679" s="131"/>
      <c r="H679" s="122" t="s">
        <v>413</v>
      </c>
      <c r="I679" s="123" t="s">
        <v>412</v>
      </c>
      <c r="J679" s="212"/>
      <c r="K679" s="212"/>
      <c r="L679" s="212"/>
      <c r="M679" s="213"/>
      <c r="N679" s="213"/>
      <c r="O679" s="214"/>
      <c r="P679" s="106" t="b">
        <f t="shared" si="36"/>
        <v>0</v>
      </c>
    </row>
    <row r="680" spans="1:16" x14ac:dyDescent="0.3">
      <c r="A680" s="124">
        <v>26</v>
      </c>
      <c r="B680" s="37" t="s">
        <v>1314</v>
      </c>
      <c r="C680" s="38">
        <v>11</v>
      </c>
      <c r="D680" s="125" t="s">
        <v>1301</v>
      </c>
      <c r="E680" s="123" t="s">
        <v>1325</v>
      </c>
      <c r="F680" s="131"/>
      <c r="G680" s="128" t="s">
        <v>53</v>
      </c>
      <c r="H680" s="154" t="s">
        <v>1341</v>
      </c>
      <c r="I680" s="155" t="s">
        <v>1340</v>
      </c>
      <c r="J680" s="212"/>
      <c r="K680" s="212"/>
      <c r="L680" s="212"/>
      <c r="M680" s="213"/>
      <c r="N680" s="213"/>
      <c r="O680" s="214"/>
      <c r="P680" s="106" t="b">
        <f t="shared" si="36"/>
        <v>0</v>
      </c>
    </row>
    <row r="681" spans="1:16" x14ac:dyDescent="0.3">
      <c r="A681" s="124">
        <v>26</v>
      </c>
      <c r="B681" s="37" t="s">
        <v>1314</v>
      </c>
      <c r="C681" s="38">
        <v>12</v>
      </c>
      <c r="D681" s="125" t="s">
        <v>1302</v>
      </c>
      <c r="E681" s="123" t="s">
        <v>1326</v>
      </c>
      <c r="F681" s="126" t="s">
        <v>52</v>
      </c>
      <c r="G681" s="131"/>
      <c r="H681" s="122" t="s">
        <v>262</v>
      </c>
      <c r="I681" s="123" t="s">
        <v>1291</v>
      </c>
      <c r="J681" s="212"/>
      <c r="K681" s="212"/>
      <c r="L681" s="212"/>
      <c r="M681" s="213"/>
      <c r="N681" s="213"/>
      <c r="O681" s="214"/>
      <c r="P681" s="106" t="b">
        <f t="shared" si="36"/>
        <v>0</v>
      </c>
    </row>
    <row r="682" spans="1:16" x14ac:dyDescent="0.3">
      <c r="A682" s="124">
        <v>26</v>
      </c>
      <c r="B682" s="37" t="s">
        <v>1314</v>
      </c>
      <c r="C682" s="38">
        <v>13</v>
      </c>
      <c r="D682" s="125" t="s">
        <v>1303</v>
      </c>
      <c r="E682" s="123" t="s">
        <v>1327</v>
      </c>
      <c r="F682" s="126" t="s">
        <v>52</v>
      </c>
      <c r="G682" s="131"/>
      <c r="H682" s="122" t="s">
        <v>413</v>
      </c>
      <c r="I682" s="123" t="s">
        <v>412</v>
      </c>
      <c r="J682" s="212"/>
      <c r="K682" s="212"/>
      <c r="L682" s="212"/>
      <c r="M682" s="213"/>
      <c r="N682" s="212" t="s">
        <v>1383</v>
      </c>
      <c r="O682" s="214" t="s">
        <v>1383</v>
      </c>
      <c r="P682" s="106" t="b">
        <f t="shared" si="36"/>
        <v>1</v>
      </c>
    </row>
    <row r="683" spans="1:16" x14ac:dyDescent="0.3">
      <c r="A683" s="124">
        <v>26</v>
      </c>
      <c r="B683" s="37" t="s">
        <v>1314</v>
      </c>
      <c r="C683" s="38">
        <v>14</v>
      </c>
      <c r="D683" s="125" t="s">
        <v>1304</v>
      </c>
      <c r="E683" s="123" t="s">
        <v>1328</v>
      </c>
      <c r="F683" s="126" t="s">
        <v>52</v>
      </c>
      <c r="G683" s="131"/>
      <c r="H683" s="122" t="s">
        <v>262</v>
      </c>
      <c r="I683" s="123" t="s">
        <v>1291</v>
      </c>
      <c r="J683" s="212"/>
      <c r="K683" s="212"/>
      <c r="L683" s="212"/>
      <c r="M683" s="213"/>
      <c r="N683" s="213"/>
      <c r="O683" s="214"/>
      <c r="P683" s="106" t="b">
        <f t="shared" si="36"/>
        <v>0</v>
      </c>
    </row>
    <row r="684" spans="1:16" x14ac:dyDescent="0.3">
      <c r="A684" s="124">
        <v>26</v>
      </c>
      <c r="B684" s="37" t="s">
        <v>1314</v>
      </c>
      <c r="C684" s="38">
        <v>15</v>
      </c>
      <c r="D684" s="125" t="s">
        <v>1305</v>
      </c>
      <c r="E684" s="123" t="s">
        <v>1329</v>
      </c>
      <c r="F684" s="126" t="s">
        <v>52</v>
      </c>
      <c r="G684" s="131"/>
      <c r="H684" s="122" t="s">
        <v>1341</v>
      </c>
      <c r="I684" s="123" t="s">
        <v>1340</v>
      </c>
      <c r="J684" s="212"/>
      <c r="K684" s="212"/>
      <c r="L684" s="212"/>
      <c r="M684" s="213"/>
      <c r="N684" s="213"/>
      <c r="O684" s="214"/>
      <c r="P684" s="106" t="b">
        <f t="shared" si="36"/>
        <v>0</v>
      </c>
    </row>
    <row r="685" spans="1:16" x14ac:dyDescent="0.3">
      <c r="A685" s="124">
        <v>26</v>
      </c>
      <c r="B685" s="37" t="s">
        <v>1314</v>
      </c>
      <c r="C685" s="38">
        <v>16</v>
      </c>
      <c r="D685" s="125" t="s">
        <v>129</v>
      </c>
      <c r="E685" s="123" t="s">
        <v>1330</v>
      </c>
      <c r="F685" s="126" t="s">
        <v>52</v>
      </c>
      <c r="G685" s="131"/>
      <c r="H685" s="122" t="s">
        <v>262</v>
      </c>
      <c r="I685" s="123" t="s">
        <v>1291</v>
      </c>
      <c r="J685" s="212" t="s">
        <v>1383</v>
      </c>
      <c r="K685" s="212" t="s">
        <v>1383</v>
      </c>
      <c r="L685" s="212"/>
      <c r="M685" s="213"/>
      <c r="N685" s="212" t="s">
        <v>1383</v>
      </c>
      <c r="O685" s="214" t="s">
        <v>1383</v>
      </c>
      <c r="P685" s="106" t="b">
        <f t="shared" si="36"/>
        <v>1</v>
      </c>
    </row>
    <row r="686" spans="1:16" x14ac:dyDescent="0.3">
      <c r="A686" s="124">
        <v>26</v>
      </c>
      <c r="B686" s="37" t="s">
        <v>1314</v>
      </c>
      <c r="C686" s="38">
        <v>17</v>
      </c>
      <c r="D686" s="125" t="s">
        <v>1306</v>
      </c>
      <c r="E686" s="123" t="s">
        <v>1331</v>
      </c>
      <c r="F686" s="131"/>
      <c r="G686" s="128" t="s">
        <v>53</v>
      </c>
      <c r="H686" s="154" t="s">
        <v>1341</v>
      </c>
      <c r="I686" s="155" t="s">
        <v>1340</v>
      </c>
      <c r="J686" s="212"/>
      <c r="K686" s="212"/>
      <c r="L686" s="212"/>
      <c r="M686" s="213"/>
      <c r="N686" s="213"/>
      <c r="O686" s="214"/>
      <c r="P686" s="106" t="b">
        <f t="shared" si="36"/>
        <v>0</v>
      </c>
    </row>
    <row r="687" spans="1:16" x14ac:dyDescent="0.3">
      <c r="A687" s="124">
        <v>26</v>
      </c>
      <c r="B687" s="37" t="s">
        <v>1314</v>
      </c>
      <c r="C687" s="38">
        <v>18</v>
      </c>
      <c r="D687" s="125" t="s">
        <v>1307</v>
      </c>
      <c r="E687" s="123" t="s">
        <v>1332</v>
      </c>
      <c r="F687" s="126" t="s">
        <v>52</v>
      </c>
      <c r="G687" s="131"/>
      <c r="H687" s="122" t="s">
        <v>1341</v>
      </c>
      <c r="I687" s="123" t="s">
        <v>1340</v>
      </c>
      <c r="J687" s="212" t="s">
        <v>1383</v>
      </c>
      <c r="K687" s="212"/>
      <c r="L687" s="212"/>
      <c r="M687" s="213"/>
      <c r="N687" s="213"/>
      <c r="O687" s="214"/>
      <c r="P687" s="106" t="b">
        <f t="shared" si="36"/>
        <v>1</v>
      </c>
    </row>
    <row r="688" spans="1:16" x14ac:dyDescent="0.3">
      <c r="A688" s="124">
        <v>26</v>
      </c>
      <c r="B688" s="37" t="s">
        <v>1314</v>
      </c>
      <c r="C688" s="38">
        <v>19</v>
      </c>
      <c r="D688" s="125" t="s">
        <v>1308</v>
      </c>
      <c r="E688" s="123" t="s">
        <v>1333</v>
      </c>
      <c r="F688" s="126" t="s">
        <v>52</v>
      </c>
      <c r="G688" s="131"/>
      <c r="H688" s="122" t="s">
        <v>1341</v>
      </c>
      <c r="I688" s="123" t="s">
        <v>1340</v>
      </c>
      <c r="J688" s="212" t="s">
        <v>1383</v>
      </c>
      <c r="K688" s="212"/>
      <c r="L688" s="212"/>
      <c r="M688" s="213"/>
      <c r="N688" s="213"/>
      <c r="O688" s="214"/>
      <c r="P688" s="106" t="b">
        <f t="shared" si="36"/>
        <v>1</v>
      </c>
    </row>
    <row r="689" spans="1:16" x14ac:dyDescent="0.3">
      <c r="A689" s="124">
        <v>26</v>
      </c>
      <c r="B689" s="37" t="s">
        <v>1314</v>
      </c>
      <c r="C689" s="38">
        <v>20</v>
      </c>
      <c r="D689" s="125" t="s">
        <v>829</v>
      </c>
      <c r="E689" s="123" t="s">
        <v>1334</v>
      </c>
      <c r="F689" s="131"/>
      <c r="G689" s="128" t="s">
        <v>53</v>
      </c>
      <c r="H689" s="154" t="s">
        <v>1341</v>
      </c>
      <c r="I689" s="155" t="s">
        <v>1340</v>
      </c>
      <c r="J689" s="212"/>
      <c r="K689" s="212"/>
      <c r="L689" s="212"/>
      <c r="M689" s="213"/>
      <c r="N689" s="213"/>
      <c r="O689" s="214"/>
      <c r="P689" s="106" t="b">
        <f t="shared" si="36"/>
        <v>0</v>
      </c>
    </row>
    <row r="690" spans="1:16" x14ac:dyDescent="0.3">
      <c r="A690" s="124">
        <v>26</v>
      </c>
      <c r="B690" s="37" t="s">
        <v>1314</v>
      </c>
      <c r="C690" s="38">
        <v>21</v>
      </c>
      <c r="D690" s="125" t="s">
        <v>1309</v>
      </c>
      <c r="E690" s="123" t="s">
        <v>1335</v>
      </c>
      <c r="F690" s="131"/>
      <c r="G690" s="128" t="s">
        <v>53</v>
      </c>
      <c r="H690" s="154" t="s">
        <v>1341</v>
      </c>
      <c r="I690" s="155" t="s">
        <v>1340</v>
      </c>
      <c r="J690" s="212"/>
      <c r="K690" s="212"/>
      <c r="L690" s="212"/>
      <c r="M690" s="213"/>
      <c r="N690" s="213"/>
      <c r="O690" s="214"/>
      <c r="P690" s="106" t="b">
        <f t="shared" si="36"/>
        <v>0</v>
      </c>
    </row>
    <row r="691" spans="1:16" x14ac:dyDescent="0.3">
      <c r="A691" s="124">
        <v>26</v>
      </c>
      <c r="B691" s="37" t="s">
        <v>1314</v>
      </c>
      <c r="C691" s="38">
        <v>22</v>
      </c>
      <c r="D691" s="125" t="s">
        <v>1310</v>
      </c>
      <c r="E691" s="123" t="s">
        <v>1336</v>
      </c>
      <c r="F691" s="131"/>
      <c r="G691" s="128" t="s">
        <v>53</v>
      </c>
      <c r="H691" s="154" t="s">
        <v>1341</v>
      </c>
      <c r="I691" s="155" t="s">
        <v>1340</v>
      </c>
      <c r="J691" s="212"/>
      <c r="K691" s="212"/>
      <c r="L691" s="212"/>
      <c r="M691" s="213"/>
      <c r="N691" s="213"/>
      <c r="O691" s="214"/>
      <c r="P691" s="106" t="b">
        <f t="shared" si="36"/>
        <v>0</v>
      </c>
    </row>
    <row r="692" spans="1:16" x14ac:dyDescent="0.3">
      <c r="A692" s="124">
        <v>26</v>
      </c>
      <c r="B692" s="37" t="s">
        <v>1314</v>
      </c>
      <c r="C692" s="38">
        <v>23</v>
      </c>
      <c r="D692" s="125" t="s">
        <v>1311</v>
      </c>
      <c r="E692" s="123" t="s">
        <v>1337</v>
      </c>
      <c r="F692" s="126" t="s">
        <v>52</v>
      </c>
      <c r="G692" s="131"/>
      <c r="H692" s="122" t="s">
        <v>413</v>
      </c>
      <c r="I692" s="123" t="s">
        <v>412</v>
      </c>
      <c r="J692" s="212"/>
      <c r="K692" s="212"/>
      <c r="L692" s="212"/>
      <c r="M692" s="213"/>
      <c r="N692" s="213"/>
      <c r="O692" s="214"/>
      <c r="P692" s="106" t="b">
        <f t="shared" si="36"/>
        <v>0</v>
      </c>
    </row>
    <row r="693" spans="1:16" x14ac:dyDescent="0.3">
      <c r="A693" s="124">
        <v>26</v>
      </c>
      <c r="B693" s="37" t="s">
        <v>1314</v>
      </c>
      <c r="C693" s="38">
        <v>24</v>
      </c>
      <c r="D693" s="125" t="s">
        <v>1312</v>
      </c>
      <c r="E693" s="123" t="s">
        <v>1338</v>
      </c>
      <c r="F693" s="126" t="s">
        <v>52</v>
      </c>
      <c r="G693" s="128"/>
      <c r="H693" s="122" t="s">
        <v>1341</v>
      </c>
      <c r="I693" s="123" t="s">
        <v>1340</v>
      </c>
      <c r="J693" s="212"/>
      <c r="K693" s="212"/>
      <c r="L693" s="212"/>
      <c r="M693" s="213"/>
      <c r="N693" s="213"/>
      <c r="O693" s="214"/>
      <c r="P693" s="106" t="b">
        <f t="shared" si="36"/>
        <v>0</v>
      </c>
    </row>
    <row r="694" spans="1:16" ht="19.5" thickBot="1" x14ac:dyDescent="0.35">
      <c r="A694" s="132">
        <v>26</v>
      </c>
      <c r="B694" s="39" t="s">
        <v>1314</v>
      </c>
      <c r="C694" s="45">
        <v>25</v>
      </c>
      <c r="D694" s="156" t="s">
        <v>1313</v>
      </c>
      <c r="E694" s="159" t="s">
        <v>1339</v>
      </c>
      <c r="F694" s="157" t="s">
        <v>52</v>
      </c>
      <c r="G694" s="135"/>
      <c r="H694" s="158" t="s">
        <v>1342</v>
      </c>
      <c r="I694" s="159" t="s">
        <v>577</v>
      </c>
      <c r="J694" s="221"/>
      <c r="K694" s="221"/>
      <c r="L694" s="221"/>
      <c r="M694" s="222"/>
      <c r="N694" s="222"/>
      <c r="O694" s="223"/>
      <c r="P694" s="106" t="b">
        <f t="shared" si="36"/>
        <v>0</v>
      </c>
    </row>
    <row r="695" spans="1:16" ht="19.5" hidden="1" thickBot="1" x14ac:dyDescent="0.3">
      <c r="A695" s="188">
        <v>26</v>
      </c>
      <c r="B695" s="189" t="s">
        <v>1314</v>
      </c>
      <c r="C695" s="190">
        <f>COUNTA(C670:C694)</f>
        <v>25</v>
      </c>
      <c r="D695" s="191" t="s">
        <v>1</v>
      </c>
      <c r="E695" s="191" t="s">
        <v>1374</v>
      </c>
      <c r="F695" s="190">
        <f>COUNTA(F670:F694)</f>
        <v>17</v>
      </c>
      <c r="G695" s="190">
        <f>COUNTA(G670:G694)</f>
        <v>8</v>
      </c>
      <c r="H695" s="298" t="s">
        <v>3</v>
      </c>
      <c r="I695" s="299"/>
      <c r="J695" s="115">
        <f>COUNTA(J670:J694)</f>
        <v>6</v>
      </c>
      <c r="K695" s="115">
        <f t="shared" ref="K695:O695" si="38">COUNTA(K670:K694)</f>
        <v>3</v>
      </c>
      <c r="L695" s="115">
        <f t="shared" si="38"/>
        <v>0</v>
      </c>
      <c r="M695" s="115">
        <f t="shared" si="38"/>
        <v>0</v>
      </c>
      <c r="N695" s="115">
        <f t="shared" si="38"/>
        <v>2</v>
      </c>
      <c r="O695" s="116">
        <f t="shared" si="38"/>
        <v>2</v>
      </c>
      <c r="P695" s="108">
        <f>COUNTIF(P670:P694,TRUE)</f>
        <v>7</v>
      </c>
    </row>
    <row r="696" spans="1:16" x14ac:dyDescent="0.3">
      <c r="A696" s="119">
        <v>27</v>
      </c>
      <c r="B696" s="41" t="s">
        <v>1357</v>
      </c>
      <c r="C696" s="44">
        <v>1</v>
      </c>
      <c r="D696" s="150" t="s">
        <v>1343</v>
      </c>
      <c r="E696" s="153" t="s">
        <v>1358</v>
      </c>
      <c r="F696" s="151" t="s">
        <v>52</v>
      </c>
      <c r="G696" s="168"/>
      <c r="H696" s="152" t="s">
        <v>521</v>
      </c>
      <c r="I696" s="153" t="s">
        <v>525</v>
      </c>
      <c r="J696" s="218"/>
      <c r="K696" s="218"/>
      <c r="L696" s="218"/>
      <c r="M696" s="219"/>
      <c r="N696" s="219"/>
      <c r="O696" s="220"/>
      <c r="P696" s="106" t="b">
        <f t="shared" si="36"/>
        <v>0</v>
      </c>
    </row>
    <row r="697" spans="1:16" x14ac:dyDescent="0.3">
      <c r="A697" s="124">
        <v>27</v>
      </c>
      <c r="B697" s="37" t="s">
        <v>1357</v>
      </c>
      <c r="C697" s="38">
        <v>2</v>
      </c>
      <c r="D697" s="125" t="s">
        <v>1344</v>
      </c>
      <c r="E697" s="123" t="s">
        <v>1359</v>
      </c>
      <c r="F697" s="131"/>
      <c r="G697" s="128" t="s">
        <v>53</v>
      </c>
      <c r="H697" s="122" t="s">
        <v>1425</v>
      </c>
      <c r="I697" s="123" t="s">
        <v>1372</v>
      </c>
      <c r="J697" s="212"/>
      <c r="K697" s="212"/>
      <c r="L697" s="212"/>
      <c r="M697" s="213"/>
      <c r="N697" s="213"/>
      <c r="O697" s="214"/>
      <c r="P697" s="106" t="b">
        <f t="shared" si="36"/>
        <v>0</v>
      </c>
    </row>
    <row r="698" spans="1:16" x14ac:dyDescent="0.3">
      <c r="A698" s="124">
        <v>27</v>
      </c>
      <c r="B698" s="37" t="s">
        <v>1357</v>
      </c>
      <c r="C698" s="38">
        <v>3</v>
      </c>
      <c r="D698" s="125" t="s">
        <v>1345</v>
      </c>
      <c r="E698" s="123" t="s">
        <v>1360</v>
      </c>
      <c r="F698" s="126" t="s">
        <v>52</v>
      </c>
      <c r="G698" s="131"/>
      <c r="H698" s="122" t="s">
        <v>521</v>
      </c>
      <c r="I698" s="123" t="s">
        <v>525</v>
      </c>
      <c r="J698" s="212" t="s">
        <v>1383</v>
      </c>
      <c r="K698" s="212"/>
      <c r="L698" s="212"/>
      <c r="M698" s="213"/>
      <c r="N698" s="212" t="s">
        <v>1383</v>
      </c>
      <c r="O698" s="214"/>
      <c r="P698" s="106" t="b">
        <f t="shared" si="36"/>
        <v>1</v>
      </c>
    </row>
    <row r="699" spans="1:16" x14ac:dyDescent="0.3">
      <c r="A699" s="124">
        <v>27</v>
      </c>
      <c r="B699" s="37" t="s">
        <v>1357</v>
      </c>
      <c r="C699" s="38">
        <v>4</v>
      </c>
      <c r="D699" s="125" t="s">
        <v>1346</v>
      </c>
      <c r="E699" s="123" t="s">
        <v>1361</v>
      </c>
      <c r="F699" s="126"/>
      <c r="G699" s="128" t="s">
        <v>53</v>
      </c>
      <c r="H699" s="122" t="s">
        <v>1425</v>
      </c>
      <c r="I699" s="123" t="s">
        <v>1372</v>
      </c>
      <c r="J699" s="212"/>
      <c r="K699" s="212"/>
      <c r="L699" s="212"/>
      <c r="M699" s="213"/>
      <c r="N699" s="213"/>
      <c r="O699" s="214"/>
      <c r="P699" s="106" t="b">
        <f t="shared" si="36"/>
        <v>0</v>
      </c>
    </row>
    <row r="700" spans="1:16" x14ac:dyDescent="0.3">
      <c r="A700" s="124">
        <v>27</v>
      </c>
      <c r="B700" s="37" t="s">
        <v>1357</v>
      </c>
      <c r="C700" s="38">
        <v>5</v>
      </c>
      <c r="D700" s="125" t="s">
        <v>1347</v>
      </c>
      <c r="E700" s="123" t="s">
        <v>1362</v>
      </c>
      <c r="F700" s="126" t="s">
        <v>52</v>
      </c>
      <c r="G700" s="128"/>
      <c r="H700" s="122" t="s">
        <v>521</v>
      </c>
      <c r="I700" s="123" t="s">
        <v>525</v>
      </c>
      <c r="J700" s="212"/>
      <c r="K700" s="212"/>
      <c r="L700" s="212"/>
      <c r="M700" s="213"/>
      <c r="N700" s="213"/>
      <c r="O700" s="214"/>
      <c r="P700" s="106" t="b">
        <f t="shared" si="36"/>
        <v>0</v>
      </c>
    </row>
    <row r="701" spans="1:16" x14ac:dyDescent="0.3">
      <c r="A701" s="124">
        <v>27</v>
      </c>
      <c r="B701" s="37" t="s">
        <v>1357</v>
      </c>
      <c r="C701" s="38">
        <v>6</v>
      </c>
      <c r="D701" s="125" t="s">
        <v>1348</v>
      </c>
      <c r="E701" s="123" t="s">
        <v>1363</v>
      </c>
      <c r="F701" s="126" t="s">
        <v>52</v>
      </c>
      <c r="G701" s="131"/>
      <c r="H701" s="122" t="s">
        <v>521</v>
      </c>
      <c r="I701" s="123" t="s">
        <v>525</v>
      </c>
      <c r="J701" s="212"/>
      <c r="K701" s="212"/>
      <c r="L701" s="212"/>
      <c r="M701" s="213"/>
      <c r="N701" s="213"/>
      <c r="O701" s="214"/>
      <c r="P701" s="106" t="b">
        <f t="shared" si="36"/>
        <v>0</v>
      </c>
    </row>
    <row r="702" spans="1:16" x14ac:dyDescent="0.3">
      <c r="A702" s="124">
        <v>27</v>
      </c>
      <c r="B702" s="37" t="s">
        <v>1357</v>
      </c>
      <c r="C702" s="38">
        <v>7</v>
      </c>
      <c r="D702" s="125" t="s">
        <v>1349</v>
      </c>
      <c r="E702" s="123" t="s">
        <v>1364</v>
      </c>
      <c r="F702" s="126" t="s">
        <v>52</v>
      </c>
      <c r="G702" s="131"/>
      <c r="H702" s="122" t="s">
        <v>521</v>
      </c>
      <c r="I702" s="123" t="s">
        <v>525</v>
      </c>
      <c r="J702" s="212"/>
      <c r="K702" s="212"/>
      <c r="L702" s="212"/>
      <c r="M702" s="213"/>
      <c r="N702" s="213"/>
      <c r="O702" s="214"/>
      <c r="P702" s="106" t="b">
        <f t="shared" si="36"/>
        <v>0</v>
      </c>
    </row>
    <row r="703" spans="1:16" x14ac:dyDescent="0.3">
      <c r="A703" s="124">
        <v>27</v>
      </c>
      <c r="B703" s="37" t="s">
        <v>1357</v>
      </c>
      <c r="C703" s="38">
        <v>8</v>
      </c>
      <c r="D703" s="125" t="s">
        <v>1350</v>
      </c>
      <c r="E703" s="123" t="s">
        <v>1365</v>
      </c>
      <c r="F703" s="131"/>
      <c r="G703" s="128" t="s">
        <v>53</v>
      </c>
      <c r="H703" s="122" t="s">
        <v>1425</v>
      </c>
      <c r="I703" s="123" t="s">
        <v>1372</v>
      </c>
      <c r="J703" s="212"/>
      <c r="K703" s="212"/>
      <c r="L703" s="212"/>
      <c r="M703" s="213"/>
      <c r="N703" s="213"/>
      <c r="O703" s="214"/>
      <c r="P703" s="106" t="b">
        <f t="shared" si="36"/>
        <v>0</v>
      </c>
    </row>
    <row r="704" spans="1:16" x14ac:dyDescent="0.3">
      <c r="A704" s="124">
        <v>27</v>
      </c>
      <c r="B704" s="37" t="s">
        <v>1357</v>
      </c>
      <c r="C704" s="38">
        <v>9</v>
      </c>
      <c r="D704" s="125" t="s">
        <v>1351</v>
      </c>
      <c r="E704" s="123" t="s">
        <v>1366</v>
      </c>
      <c r="F704" s="131"/>
      <c r="G704" s="128" t="s">
        <v>53</v>
      </c>
      <c r="H704" s="122" t="s">
        <v>1425</v>
      </c>
      <c r="I704" s="123" t="s">
        <v>1372</v>
      </c>
      <c r="J704" s="212"/>
      <c r="K704" s="212"/>
      <c r="L704" s="212"/>
      <c r="M704" s="213"/>
      <c r="N704" s="213"/>
      <c r="O704" s="214"/>
      <c r="P704" s="106" t="b">
        <f t="shared" si="36"/>
        <v>0</v>
      </c>
    </row>
    <row r="705" spans="1:16" x14ac:dyDescent="0.3">
      <c r="A705" s="124">
        <v>27</v>
      </c>
      <c r="B705" s="37" t="s">
        <v>1357</v>
      </c>
      <c r="C705" s="38">
        <v>10</v>
      </c>
      <c r="D705" s="125" t="s">
        <v>1352</v>
      </c>
      <c r="E705" s="123" t="s">
        <v>1367</v>
      </c>
      <c r="F705" s="131"/>
      <c r="G705" s="128" t="s">
        <v>53</v>
      </c>
      <c r="H705" s="122" t="s">
        <v>1425</v>
      </c>
      <c r="I705" s="123" t="s">
        <v>1372</v>
      </c>
      <c r="J705" s="212"/>
      <c r="K705" s="212"/>
      <c r="L705" s="212"/>
      <c r="M705" s="213"/>
      <c r="N705" s="213"/>
      <c r="O705" s="214"/>
      <c r="P705" s="106" t="b">
        <f t="shared" si="36"/>
        <v>0</v>
      </c>
    </row>
    <row r="706" spans="1:16" x14ac:dyDescent="0.3">
      <c r="A706" s="124">
        <v>27</v>
      </c>
      <c r="B706" s="37" t="s">
        <v>1357</v>
      </c>
      <c r="C706" s="38">
        <v>11</v>
      </c>
      <c r="D706" s="125" t="s">
        <v>1353</v>
      </c>
      <c r="E706" s="123" t="s">
        <v>1368</v>
      </c>
      <c r="F706" s="126" t="s">
        <v>52</v>
      </c>
      <c r="G706" s="131"/>
      <c r="H706" s="122" t="s">
        <v>1425</v>
      </c>
      <c r="I706" s="123" t="s">
        <v>1372</v>
      </c>
      <c r="J706" s="212" t="s">
        <v>1383</v>
      </c>
      <c r="K706" s="212"/>
      <c r="L706" s="212"/>
      <c r="M706" s="213"/>
      <c r="N706" s="213"/>
      <c r="O706" s="214"/>
      <c r="P706" s="106" t="b">
        <f t="shared" si="36"/>
        <v>1</v>
      </c>
    </row>
    <row r="707" spans="1:16" x14ac:dyDescent="0.3">
      <c r="A707" s="124">
        <v>27</v>
      </c>
      <c r="B707" s="37" t="s">
        <v>1357</v>
      </c>
      <c r="C707" s="38">
        <v>12</v>
      </c>
      <c r="D707" s="125" t="s">
        <v>1354</v>
      </c>
      <c r="E707" s="123" t="s">
        <v>1369</v>
      </c>
      <c r="F707" s="126" t="s">
        <v>52</v>
      </c>
      <c r="G707" s="131"/>
      <c r="H707" s="122" t="s">
        <v>521</v>
      </c>
      <c r="I707" s="123" t="s">
        <v>525</v>
      </c>
      <c r="J707" s="212"/>
      <c r="K707" s="212"/>
      <c r="L707" s="212"/>
      <c r="M707" s="213"/>
      <c r="N707" s="213"/>
      <c r="O707" s="214"/>
      <c r="P707" s="106" t="b">
        <f t="shared" si="36"/>
        <v>0</v>
      </c>
    </row>
    <row r="708" spans="1:16" x14ac:dyDescent="0.3">
      <c r="A708" s="124">
        <v>27</v>
      </c>
      <c r="B708" s="37" t="s">
        <v>1357</v>
      </c>
      <c r="C708" s="38">
        <v>13</v>
      </c>
      <c r="D708" s="125" t="s">
        <v>1355</v>
      </c>
      <c r="E708" s="123" t="s">
        <v>1370</v>
      </c>
      <c r="F708" s="131"/>
      <c r="G708" s="128" t="s">
        <v>53</v>
      </c>
      <c r="H708" s="122" t="s">
        <v>1425</v>
      </c>
      <c r="I708" s="123" t="s">
        <v>1372</v>
      </c>
      <c r="J708" s="212"/>
      <c r="K708" s="212"/>
      <c r="L708" s="212"/>
      <c r="M708" s="213"/>
      <c r="N708" s="213"/>
      <c r="O708" s="214"/>
      <c r="P708" s="106" t="b">
        <f t="shared" si="36"/>
        <v>0</v>
      </c>
    </row>
    <row r="709" spans="1:16" ht="19.5" thickBot="1" x14ac:dyDescent="0.35">
      <c r="A709" s="132">
        <v>27</v>
      </c>
      <c r="B709" s="39" t="s">
        <v>1357</v>
      </c>
      <c r="C709" s="45">
        <v>14</v>
      </c>
      <c r="D709" s="133" t="s">
        <v>1356</v>
      </c>
      <c r="E709" s="159" t="s">
        <v>1371</v>
      </c>
      <c r="F709" s="157" t="s">
        <v>52</v>
      </c>
      <c r="G709" s="174"/>
      <c r="H709" s="158" t="s">
        <v>521</v>
      </c>
      <c r="I709" s="159" t="s">
        <v>525</v>
      </c>
      <c r="J709" s="221"/>
      <c r="K709" s="221"/>
      <c r="L709" s="221"/>
      <c r="M709" s="222"/>
      <c r="N709" s="222"/>
      <c r="O709" s="223"/>
      <c r="P709" s="106" t="b">
        <f t="shared" si="36"/>
        <v>0</v>
      </c>
    </row>
    <row r="710" spans="1:16" ht="19.5" hidden="1" thickBot="1" x14ac:dyDescent="0.3">
      <c r="A710" s="52">
        <v>27</v>
      </c>
      <c r="B710" s="34" t="s">
        <v>1357</v>
      </c>
      <c r="C710" s="21">
        <f>COUNTA(C696:C709)</f>
        <v>14</v>
      </c>
      <c r="D710" s="49" t="s">
        <v>1</v>
      </c>
      <c r="E710" s="49" t="s">
        <v>1374</v>
      </c>
      <c r="F710" s="21">
        <f>COUNTA(F696:F709)</f>
        <v>8</v>
      </c>
      <c r="G710" s="21">
        <f>COUNTA(G696:G709)</f>
        <v>6</v>
      </c>
      <c r="H710" s="300" t="s">
        <v>3</v>
      </c>
      <c r="I710" s="301"/>
      <c r="J710" s="111">
        <f t="shared" ref="J710:O710" si="39">COUNTA(J696:J709)</f>
        <v>2</v>
      </c>
      <c r="K710" s="111">
        <f t="shared" si="39"/>
        <v>0</v>
      </c>
      <c r="L710" s="111">
        <f t="shared" si="39"/>
        <v>0</v>
      </c>
      <c r="M710" s="111">
        <f t="shared" si="39"/>
        <v>0</v>
      </c>
      <c r="N710" s="111">
        <f t="shared" si="39"/>
        <v>1</v>
      </c>
      <c r="O710" s="112">
        <f t="shared" si="39"/>
        <v>0</v>
      </c>
      <c r="P710" s="108">
        <f>COUNTIF(P696:P709,TRUE)</f>
        <v>2</v>
      </c>
    </row>
    <row r="711" spans="1:16" x14ac:dyDescent="0.3">
      <c r="B711" s="54"/>
      <c r="C711" s="55"/>
    </row>
    <row r="712" spans="1:16" hidden="1" x14ac:dyDescent="0.3">
      <c r="B712" s="56"/>
      <c r="C712" s="57"/>
    </row>
    <row r="713" spans="1:16" hidden="1" x14ac:dyDescent="0.3">
      <c r="B713" s="56"/>
      <c r="C713" s="57"/>
    </row>
    <row r="714" spans="1:16" hidden="1" x14ac:dyDescent="0.3">
      <c r="B714" s="56"/>
      <c r="C714" s="57"/>
    </row>
    <row r="715" spans="1:16" hidden="1" x14ac:dyDescent="0.3">
      <c r="B715" s="56"/>
      <c r="C715" s="57"/>
    </row>
    <row r="716" spans="1:16" hidden="1" x14ac:dyDescent="0.3">
      <c r="B716" s="56"/>
      <c r="C716" s="57"/>
    </row>
    <row r="717" spans="1:16" hidden="1" x14ac:dyDescent="0.3">
      <c r="B717" s="56"/>
      <c r="C717" s="57"/>
    </row>
    <row r="718" spans="1:16" hidden="1" x14ac:dyDescent="0.3">
      <c r="B718" s="56"/>
      <c r="C718" s="57"/>
    </row>
    <row r="719" spans="1:16" hidden="1" x14ac:dyDescent="0.3">
      <c r="B719" s="56"/>
      <c r="C719" s="57"/>
    </row>
    <row r="720" spans="1:16" hidden="1" x14ac:dyDescent="0.3">
      <c r="B720" s="56"/>
      <c r="C720" s="57"/>
    </row>
    <row r="721" spans="2:3" hidden="1" x14ac:dyDescent="0.3">
      <c r="B721" s="56"/>
      <c r="C721" s="57"/>
    </row>
    <row r="722" spans="2:3" hidden="1" x14ac:dyDescent="0.3">
      <c r="B722" s="56"/>
      <c r="C722" s="57"/>
    </row>
    <row r="723" spans="2:3" hidden="1" x14ac:dyDescent="0.3">
      <c r="B723" s="56"/>
      <c r="C723" s="57"/>
    </row>
    <row r="724" spans="2:3" hidden="1" x14ac:dyDescent="0.3">
      <c r="B724" s="56"/>
      <c r="C724" s="57"/>
    </row>
    <row r="725" spans="2:3" hidden="1" x14ac:dyDescent="0.3">
      <c r="B725" s="56"/>
      <c r="C725" s="57"/>
    </row>
    <row r="726" spans="2:3" hidden="1" x14ac:dyDescent="0.3">
      <c r="B726" s="56"/>
      <c r="C726" s="57"/>
    </row>
    <row r="727" spans="2:3" hidden="1" x14ac:dyDescent="0.3">
      <c r="B727" s="56"/>
      <c r="C727" s="57"/>
    </row>
    <row r="728" spans="2:3" hidden="1" x14ac:dyDescent="0.3">
      <c r="B728" s="56"/>
      <c r="C728" s="57"/>
    </row>
    <row r="729" spans="2:3" hidden="1" x14ac:dyDescent="0.3">
      <c r="B729" s="56"/>
      <c r="C729" s="57"/>
    </row>
    <row r="730" spans="2:3" hidden="1" x14ac:dyDescent="0.3">
      <c r="B730" s="56"/>
      <c r="C730" s="57"/>
    </row>
    <row r="731" spans="2:3" hidden="1" x14ac:dyDescent="0.3">
      <c r="B731" s="56"/>
      <c r="C731" s="57"/>
    </row>
    <row r="732" spans="2:3" hidden="1" x14ac:dyDescent="0.3">
      <c r="B732" s="56"/>
      <c r="C732" s="57"/>
    </row>
    <row r="733" spans="2:3" hidden="1" x14ac:dyDescent="0.3">
      <c r="B733" s="56"/>
      <c r="C733" s="57"/>
    </row>
    <row r="734" spans="2:3" hidden="1" x14ac:dyDescent="0.3">
      <c r="B734" s="56"/>
      <c r="C734" s="57"/>
    </row>
    <row r="735" spans="2:3" hidden="1" x14ac:dyDescent="0.3">
      <c r="B735" s="56"/>
      <c r="C735" s="57"/>
    </row>
    <row r="736" spans="2:3" hidden="1" x14ac:dyDescent="0.3">
      <c r="B736" s="56"/>
      <c r="C736" s="57"/>
    </row>
    <row r="737" spans="2:3" hidden="1" x14ac:dyDescent="0.3">
      <c r="B737" s="56"/>
      <c r="C737" s="57"/>
    </row>
    <row r="738" spans="2:3" hidden="1" x14ac:dyDescent="0.3">
      <c r="B738" s="56"/>
      <c r="C738" s="57"/>
    </row>
    <row r="739" spans="2:3" hidden="1" x14ac:dyDescent="0.3">
      <c r="B739" s="3"/>
      <c r="C739" s="53"/>
    </row>
    <row r="740" spans="2:3" hidden="1" x14ac:dyDescent="0.3">
      <c r="B740" s="54"/>
      <c r="C740" s="55"/>
    </row>
    <row r="741" spans="2:3" hidden="1" x14ac:dyDescent="0.3">
      <c r="B741" s="56"/>
      <c r="C741" s="57"/>
    </row>
    <row r="742" spans="2:3" hidden="1" x14ac:dyDescent="0.3">
      <c r="B742" s="56"/>
      <c r="C742" s="57"/>
    </row>
    <row r="743" spans="2:3" hidden="1" x14ac:dyDescent="0.3">
      <c r="B743" s="56"/>
      <c r="C743" s="57"/>
    </row>
    <row r="744" spans="2:3" hidden="1" x14ac:dyDescent="0.3">
      <c r="B744" s="56"/>
      <c r="C744" s="57"/>
    </row>
    <row r="745" spans="2:3" hidden="1" x14ac:dyDescent="0.3">
      <c r="B745" s="56"/>
      <c r="C745" s="57"/>
    </row>
    <row r="746" spans="2:3" hidden="1" x14ac:dyDescent="0.3">
      <c r="B746" s="56"/>
      <c r="C746" s="57"/>
    </row>
    <row r="747" spans="2:3" hidden="1" x14ac:dyDescent="0.3">
      <c r="B747" s="56"/>
      <c r="C747" s="57"/>
    </row>
    <row r="748" spans="2:3" hidden="1" x14ac:dyDescent="0.3">
      <c r="B748" s="56"/>
      <c r="C748" s="57"/>
    </row>
    <row r="749" spans="2:3" hidden="1" x14ac:dyDescent="0.3">
      <c r="B749" s="56"/>
      <c r="C749" s="57"/>
    </row>
    <row r="750" spans="2:3" hidden="1" x14ac:dyDescent="0.3">
      <c r="B750" s="56"/>
      <c r="C750" s="57"/>
    </row>
    <row r="751" spans="2:3" hidden="1" x14ac:dyDescent="0.3">
      <c r="B751" s="56"/>
      <c r="C751" s="57"/>
    </row>
    <row r="752" spans="2:3" hidden="1" x14ac:dyDescent="0.3">
      <c r="B752" s="56"/>
      <c r="C752" s="57"/>
    </row>
    <row r="753" spans="2:3" hidden="1" x14ac:dyDescent="0.3">
      <c r="B753" s="56"/>
      <c r="C753" s="57"/>
    </row>
    <row r="754" spans="2:3" hidden="1" x14ac:dyDescent="0.3">
      <c r="B754" s="56"/>
      <c r="C754" s="57"/>
    </row>
    <row r="755" spans="2:3" hidden="1" x14ac:dyDescent="0.3">
      <c r="B755" s="56"/>
      <c r="C755" s="57"/>
    </row>
    <row r="756" spans="2:3" hidden="1" x14ac:dyDescent="0.3">
      <c r="B756" s="56"/>
      <c r="C756" s="57"/>
    </row>
    <row r="757" spans="2:3" hidden="1" x14ac:dyDescent="0.3">
      <c r="B757" s="56"/>
      <c r="C757" s="57"/>
    </row>
    <row r="758" spans="2:3" hidden="1" x14ac:dyDescent="0.3">
      <c r="B758" s="3"/>
      <c r="C758" s="53"/>
    </row>
    <row r="759" spans="2:3" hidden="1" x14ac:dyDescent="0.3">
      <c r="B759" s="54"/>
      <c r="C759" s="55"/>
    </row>
    <row r="760" spans="2:3" hidden="1" x14ac:dyDescent="0.3">
      <c r="B760" s="56"/>
      <c r="C760" s="57"/>
    </row>
    <row r="761" spans="2:3" hidden="1" x14ac:dyDescent="0.3">
      <c r="B761" s="56"/>
      <c r="C761" s="57"/>
    </row>
    <row r="762" spans="2:3" hidden="1" x14ac:dyDescent="0.3">
      <c r="B762" s="56"/>
      <c r="C762" s="57"/>
    </row>
    <row r="763" spans="2:3" hidden="1" x14ac:dyDescent="0.3">
      <c r="B763" s="56"/>
      <c r="C763" s="57"/>
    </row>
    <row r="764" spans="2:3" hidden="1" x14ac:dyDescent="0.3">
      <c r="B764" s="56"/>
      <c r="C764" s="57"/>
    </row>
    <row r="765" spans="2:3" hidden="1" x14ac:dyDescent="0.3">
      <c r="B765" s="56"/>
      <c r="C765" s="57"/>
    </row>
    <row r="766" spans="2:3" hidden="1" x14ac:dyDescent="0.3">
      <c r="B766" s="56"/>
      <c r="C766" s="57"/>
    </row>
    <row r="767" spans="2:3" hidden="1" x14ac:dyDescent="0.3">
      <c r="B767" s="56"/>
      <c r="C767" s="57"/>
    </row>
    <row r="768" spans="2:3" hidden="1" x14ac:dyDescent="0.3">
      <c r="B768" s="56"/>
      <c r="C768" s="57"/>
    </row>
    <row r="769" spans="2:3" hidden="1" x14ac:dyDescent="0.3">
      <c r="B769" s="56"/>
      <c r="C769" s="57"/>
    </row>
    <row r="770" spans="2:3" hidden="1" x14ac:dyDescent="0.3">
      <c r="B770" s="56"/>
      <c r="C770" s="57"/>
    </row>
    <row r="771" spans="2:3" hidden="1" x14ac:dyDescent="0.3">
      <c r="B771" s="56"/>
      <c r="C771" s="57"/>
    </row>
    <row r="772" spans="2:3" hidden="1" x14ac:dyDescent="0.3">
      <c r="B772" s="56"/>
      <c r="C772" s="57"/>
    </row>
    <row r="773" spans="2:3" hidden="1" x14ac:dyDescent="0.3">
      <c r="B773" s="56"/>
      <c r="C773" s="57"/>
    </row>
    <row r="774" spans="2:3" hidden="1" x14ac:dyDescent="0.3">
      <c r="B774" s="56"/>
      <c r="C774" s="57"/>
    </row>
    <row r="775" spans="2:3" hidden="1" x14ac:dyDescent="0.3">
      <c r="B775" s="56"/>
      <c r="C775" s="57"/>
    </row>
    <row r="776" spans="2:3" hidden="1" x14ac:dyDescent="0.3">
      <c r="B776" s="56"/>
      <c r="C776" s="57"/>
    </row>
    <row r="777" spans="2:3" hidden="1" x14ac:dyDescent="0.3">
      <c r="B777" s="56"/>
      <c r="C777" s="57"/>
    </row>
    <row r="778" spans="2:3" hidden="1" x14ac:dyDescent="0.3">
      <c r="B778" s="56"/>
      <c r="C778" s="57"/>
    </row>
    <row r="779" spans="2:3" hidden="1" x14ac:dyDescent="0.3">
      <c r="B779" s="56"/>
      <c r="C779" s="57"/>
    </row>
    <row r="780" spans="2:3" hidden="1" x14ac:dyDescent="0.3">
      <c r="B780" s="56"/>
      <c r="C780" s="57"/>
    </row>
    <row r="781" spans="2:3" hidden="1" x14ac:dyDescent="0.3">
      <c r="B781" s="56"/>
      <c r="C781" s="57"/>
    </row>
    <row r="782" spans="2:3" hidden="1" x14ac:dyDescent="0.3">
      <c r="B782" s="56"/>
      <c r="C782" s="57"/>
    </row>
    <row r="783" spans="2:3" hidden="1" x14ac:dyDescent="0.3">
      <c r="B783" s="56"/>
      <c r="C783" s="57"/>
    </row>
    <row r="784" spans="2:3" hidden="1" x14ac:dyDescent="0.3">
      <c r="B784" s="56"/>
      <c r="C784" s="57"/>
    </row>
    <row r="785" spans="2:3" hidden="1" x14ac:dyDescent="0.3">
      <c r="B785" s="56"/>
      <c r="C785" s="57"/>
    </row>
    <row r="786" spans="2:3" hidden="1" x14ac:dyDescent="0.3">
      <c r="B786" s="56"/>
      <c r="C786" s="57"/>
    </row>
    <row r="787" spans="2:3" hidden="1" x14ac:dyDescent="0.3">
      <c r="B787" s="56"/>
      <c r="C787" s="57"/>
    </row>
    <row r="788" spans="2:3" hidden="1" x14ac:dyDescent="0.3">
      <c r="B788" s="56"/>
      <c r="C788" s="57"/>
    </row>
    <row r="789" spans="2:3" hidden="1" x14ac:dyDescent="0.3">
      <c r="B789" s="56"/>
      <c r="C789" s="57"/>
    </row>
    <row r="790" spans="2:3" hidden="1" x14ac:dyDescent="0.3">
      <c r="B790" s="56"/>
      <c r="C790" s="57"/>
    </row>
    <row r="791" spans="2:3" hidden="1" x14ac:dyDescent="0.3">
      <c r="B791" s="56"/>
      <c r="C791" s="57"/>
    </row>
    <row r="792" spans="2:3" hidden="1" x14ac:dyDescent="0.3">
      <c r="B792" s="56"/>
      <c r="C792" s="57"/>
    </row>
    <row r="793" spans="2:3" hidden="1" x14ac:dyDescent="0.3">
      <c r="B793" s="3"/>
      <c r="C793" s="53"/>
    </row>
    <row r="794" spans="2:3" hidden="1" x14ac:dyDescent="0.3">
      <c r="B794" s="54"/>
      <c r="C794" s="55"/>
    </row>
    <row r="795" spans="2:3" hidden="1" x14ac:dyDescent="0.3">
      <c r="B795" s="56"/>
      <c r="C795" s="57"/>
    </row>
    <row r="796" spans="2:3" hidden="1" x14ac:dyDescent="0.3">
      <c r="B796" s="56"/>
      <c r="C796" s="57"/>
    </row>
    <row r="797" spans="2:3" hidden="1" x14ac:dyDescent="0.3">
      <c r="B797" s="56"/>
      <c r="C797" s="57"/>
    </row>
    <row r="798" spans="2:3" hidden="1" x14ac:dyDescent="0.3">
      <c r="B798" s="56"/>
      <c r="C798" s="57"/>
    </row>
    <row r="799" spans="2:3" hidden="1" x14ac:dyDescent="0.3">
      <c r="B799" s="56"/>
      <c r="C799" s="57"/>
    </row>
    <row r="800" spans="2:3" hidden="1" x14ac:dyDescent="0.3">
      <c r="B800" s="56"/>
      <c r="C800" s="57"/>
    </row>
    <row r="801" spans="2:3" hidden="1" x14ac:dyDescent="0.3">
      <c r="B801" s="56"/>
      <c r="C801" s="57"/>
    </row>
    <row r="802" spans="2:3" hidden="1" x14ac:dyDescent="0.3">
      <c r="B802" s="56"/>
      <c r="C802" s="57"/>
    </row>
    <row r="803" spans="2:3" hidden="1" x14ac:dyDescent="0.3">
      <c r="B803" s="56"/>
      <c r="C803" s="57"/>
    </row>
    <row r="804" spans="2:3" hidden="1" x14ac:dyDescent="0.3">
      <c r="B804" s="56"/>
      <c r="C804" s="57"/>
    </row>
    <row r="805" spans="2:3" hidden="1" x14ac:dyDescent="0.3">
      <c r="B805" s="56"/>
      <c r="C805" s="57"/>
    </row>
    <row r="806" spans="2:3" hidden="1" x14ac:dyDescent="0.3">
      <c r="B806" s="56"/>
      <c r="C806" s="57"/>
    </row>
    <row r="807" spans="2:3" hidden="1" x14ac:dyDescent="0.3">
      <c r="B807" s="56"/>
      <c r="C807" s="57"/>
    </row>
    <row r="808" spans="2:3" hidden="1" x14ac:dyDescent="0.3">
      <c r="B808" s="56"/>
      <c r="C808" s="57"/>
    </row>
    <row r="809" spans="2:3" hidden="1" x14ac:dyDescent="0.3">
      <c r="B809" s="56"/>
      <c r="C809" s="57"/>
    </row>
    <row r="810" spans="2:3" hidden="1" x14ac:dyDescent="0.3">
      <c r="B810" s="56"/>
      <c r="C810" s="57"/>
    </row>
    <row r="811" spans="2:3" hidden="1" x14ac:dyDescent="0.3">
      <c r="B811" s="56"/>
      <c r="C811" s="57"/>
    </row>
    <row r="812" spans="2:3" hidden="1" x14ac:dyDescent="0.3">
      <c r="B812" s="56"/>
      <c r="C812" s="57"/>
    </row>
    <row r="813" spans="2:3" hidden="1" x14ac:dyDescent="0.3">
      <c r="B813" s="56"/>
      <c r="C813" s="57"/>
    </row>
    <row r="814" spans="2:3" hidden="1" x14ac:dyDescent="0.3">
      <c r="B814" s="56"/>
      <c r="C814" s="57"/>
    </row>
    <row r="815" spans="2:3" hidden="1" x14ac:dyDescent="0.3">
      <c r="B815" s="56"/>
      <c r="C815" s="57"/>
    </row>
    <row r="816" spans="2:3" hidden="1" x14ac:dyDescent="0.3">
      <c r="B816" s="56"/>
      <c r="C816" s="57"/>
    </row>
    <row r="817" spans="2:3" hidden="1" x14ac:dyDescent="0.3">
      <c r="B817" s="56"/>
      <c r="C817" s="57"/>
    </row>
    <row r="818" spans="2:3" hidden="1" x14ac:dyDescent="0.3">
      <c r="B818" s="56"/>
      <c r="C818" s="57"/>
    </row>
    <row r="819" spans="2:3" hidden="1" x14ac:dyDescent="0.3">
      <c r="B819" s="56"/>
      <c r="C819" s="57"/>
    </row>
    <row r="820" spans="2:3" hidden="1" x14ac:dyDescent="0.3">
      <c r="B820" s="3"/>
      <c r="C820" s="53"/>
    </row>
    <row r="821" spans="2:3" hidden="1" x14ac:dyDescent="0.3">
      <c r="B821" s="54"/>
      <c r="C821" s="55"/>
    </row>
    <row r="822" spans="2:3" hidden="1" x14ac:dyDescent="0.3">
      <c r="B822" s="56"/>
      <c r="C822" s="57"/>
    </row>
    <row r="823" spans="2:3" hidden="1" x14ac:dyDescent="0.3">
      <c r="B823" s="56"/>
      <c r="C823" s="57"/>
    </row>
    <row r="824" spans="2:3" hidden="1" x14ac:dyDescent="0.3">
      <c r="B824" s="56"/>
      <c r="C824" s="57"/>
    </row>
    <row r="825" spans="2:3" hidden="1" x14ac:dyDescent="0.3">
      <c r="B825" s="56"/>
      <c r="C825" s="57"/>
    </row>
    <row r="826" spans="2:3" hidden="1" x14ac:dyDescent="0.3">
      <c r="B826" s="56"/>
      <c r="C826" s="57"/>
    </row>
    <row r="827" spans="2:3" hidden="1" x14ac:dyDescent="0.3">
      <c r="B827" s="56"/>
      <c r="C827" s="57"/>
    </row>
    <row r="828" spans="2:3" hidden="1" x14ac:dyDescent="0.3">
      <c r="B828" s="56"/>
      <c r="C828" s="57"/>
    </row>
    <row r="829" spans="2:3" hidden="1" x14ac:dyDescent="0.3">
      <c r="B829" s="56"/>
      <c r="C829" s="57"/>
    </row>
    <row r="830" spans="2:3" hidden="1" x14ac:dyDescent="0.3">
      <c r="B830" s="56"/>
      <c r="C830" s="57"/>
    </row>
    <row r="831" spans="2:3" hidden="1" x14ac:dyDescent="0.3">
      <c r="B831" s="56"/>
      <c r="C831" s="57"/>
    </row>
    <row r="832" spans="2:3" hidden="1" x14ac:dyDescent="0.3">
      <c r="B832" s="56"/>
      <c r="C832" s="57"/>
    </row>
    <row r="833" spans="2:3" hidden="1" x14ac:dyDescent="0.3">
      <c r="B833" s="56"/>
      <c r="C833" s="57"/>
    </row>
    <row r="834" spans="2:3" hidden="1" x14ac:dyDescent="0.3">
      <c r="B834" s="56"/>
      <c r="C834" s="57"/>
    </row>
    <row r="835" spans="2:3" hidden="1" x14ac:dyDescent="0.3">
      <c r="B835" s="56"/>
      <c r="C835" s="57"/>
    </row>
    <row r="836" spans="2:3" hidden="1" x14ac:dyDescent="0.3">
      <c r="B836" s="56"/>
      <c r="C836" s="57"/>
    </row>
    <row r="837" spans="2:3" hidden="1" x14ac:dyDescent="0.3">
      <c r="B837" s="56"/>
      <c r="C837" s="57"/>
    </row>
    <row r="838" spans="2:3" hidden="1" x14ac:dyDescent="0.3">
      <c r="B838" s="56"/>
      <c r="C838" s="57"/>
    </row>
    <row r="839" spans="2:3" hidden="1" x14ac:dyDescent="0.3">
      <c r="B839" s="56"/>
      <c r="C839" s="57"/>
    </row>
    <row r="840" spans="2:3" hidden="1" x14ac:dyDescent="0.3">
      <c r="B840" s="56"/>
      <c r="C840" s="57"/>
    </row>
    <row r="841" spans="2:3" hidden="1" x14ac:dyDescent="0.3">
      <c r="B841" s="56"/>
      <c r="C841" s="57"/>
    </row>
    <row r="842" spans="2:3" hidden="1" x14ac:dyDescent="0.3">
      <c r="B842" s="56"/>
      <c r="C842" s="57"/>
    </row>
    <row r="843" spans="2:3" hidden="1" x14ac:dyDescent="0.3">
      <c r="B843" s="56"/>
      <c r="C843" s="57"/>
    </row>
    <row r="844" spans="2:3" hidden="1" x14ac:dyDescent="0.3">
      <c r="B844" s="56"/>
      <c r="C844" s="57"/>
    </row>
    <row r="845" spans="2:3" hidden="1" x14ac:dyDescent="0.3">
      <c r="B845" s="56"/>
      <c r="C845" s="57"/>
    </row>
    <row r="846" spans="2:3" hidden="1" x14ac:dyDescent="0.3">
      <c r="B846" s="56"/>
      <c r="C846" s="57"/>
    </row>
    <row r="847" spans="2:3" hidden="1" x14ac:dyDescent="0.3">
      <c r="B847" s="56"/>
      <c r="C847" s="57"/>
    </row>
    <row r="848" spans="2:3" hidden="1" x14ac:dyDescent="0.3">
      <c r="B848" s="56"/>
      <c r="C848" s="57"/>
    </row>
    <row r="849" spans="2:3" hidden="1" x14ac:dyDescent="0.3">
      <c r="B849" s="56"/>
      <c r="C849" s="57"/>
    </row>
    <row r="850" spans="2:3" hidden="1" x14ac:dyDescent="0.3">
      <c r="B850" s="56"/>
      <c r="C850" s="57"/>
    </row>
    <row r="851" spans="2:3" hidden="1" x14ac:dyDescent="0.3">
      <c r="B851" s="56"/>
      <c r="C851" s="57"/>
    </row>
    <row r="852" spans="2:3" hidden="1" x14ac:dyDescent="0.3">
      <c r="B852" s="56"/>
      <c r="C852" s="57"/>
    </row>
    <row r="853" spans="2:3" hidden="1" x14ac:dyDescent="0.3">
      <c r="B853" s="56"/>
      <c r="C853" s="57"/>
    </row>
    <row r="854" spans="2:3" hidden="1" x14ac:dyDescent="0.3">
      <c r="B854" s="56"/>
      <c r="C854" s="57"/>
    </row>
    <row r="855" spans="2:3" hidden="1" x14ac:dyDescent="0.3">
      <c r="B855" s="56"/>
      <c r="C855" s="57"/>
    </row>
    <row r="856" spans="2:3" hidden="1" x14ac:dyDescent="0.3">
      <c r="B856" s="56"/>
      <c r="C856" s="57"/>
    </row>
    <row r="857" spans="2:3" hidden="1" x14ac:dyDescent="0.3">
      <c r="B857" s="56"/>
      <c r="C857" s="57"/>
    </row>
    <row r="858" spans="2:3" hidden="1" x14ac:dyDescent="0.3">
      <c r="B858" s="56"/>
      <c r="C858" s="57"/>
    </row>
    <row r="859" spans="2:3" hidden="1" x14ac:dyDescent="0.3">
      <c r="B859" s="56"/>
      <c r="C859" s="57"/>
    </row>
    <row r="860" spans="2:3" hidden="1" x14ac:dyDescent="0.3">
      <c r="B860" s="56"/>
      <c r="C860" s="57"/>
    </row>
    <row r="861" spans="2:3" hidden="1" x14ac:dyDescent="0.3">
      <c r="B861" s="56"/>
      <c r="C861" s="57"/>
    </row>
    <row r="862" spans="2:3" hidden="1" x14ac:dyDescent="0.3">
      <c r="B862" s="56"/>
      <c r="C862" s="57"/>
    </row>
    <row r="863" spans="2:3" hidden="1" x14ac:dyDescent="0.3">
      <c r="B863" s="56"/>
      <c r="C863" s="57"/>
    </row>
    <row r="864" spans="2:3" hidden="1" x14ac:dyDescent="0.3">
      <c r="B864" s="56"/>
      <c r="C864" s="57"/>
    </row>
    <row r="865" spans="2:3" hidden="1" x14ac:dyDescent="0.3">
      <c r="B865" s="56"/>
      <c r="C865" s="57"/>
    </row>
    <row r="866" spans="2:3" hidden="1" x14ac:dyDescent="0.3">
      <c r="B866" s="56"/>
      <c r="C866" s="57"/>
    </row>
    <row r="867" spans="2:3" hidden="1" x14ac:dyDescent="0.3">
      <c r="B867" s="56"/>
      <c r="C867" s="57"/>
    </row>
    <row r="868" spans="2:3" hidden="1" x14ac:dyDescent="0.3">
      <c r="B868" s="56"/>
      <c r="C868" s="57"/>
    </row>
    <row r="869" spans="2:3" hidden="1" x14ac:dyDescent="0.3">
      <c r="B869" s="56"/>
      <c r="C869" s="57"/>
    </row>
    <row r="870" spans="2:3" hidden="1" x14ac:dyDescent="0.3">
      <c r="B870" s="56"/>
      <c r="C870" s="57"/>
    </row>
    <row r="871" spans="2:3" hidden="1" x14ac:dyDescent="0.3">
      <c r="B871" s="56"/>
      <c r="C871" s="57"/>
    </row>
    <row r="872" spans="2:3" hidden="1" x14ac:dyDescent="0.3">
      <c r="B872" s="56"/>
      <c r="C872" s="57"/>
    </row>
    <row r="873" spans="2:3" hidden="1" x14ac:dyDescent="0.3">
      <c r="B873" s="56"/>
      <c r="C873" s="57"/>
    </row>
    <row r="874" spans="2:3" hidden="1" x14ac:dyDescent="0.3">
      <c r="B874" s="56"/>
      <c r="C874" s="57"/>
    </row>
    <row r="875" spans="2:3" hidden="1" x14ac:dyDescent="0.3">
      <c r="B875" s="56"/>
      <c r="C875" s="57"/>
    </row>
    <row r="876" spans="2:3" hidden="1" x14ac:dyDescent="0.3">
      <c r="B876" s="3"/>
      <c r="C876" s="53"/>
    </row>
    <row r="877" spans="2:3" hidden="1" x14ac:dyDescent="0.3">
      <c r="B877" s="54"/>
      <c r="C877" s="55"/>
    </row>
    <row r="878" spans="2:3" hidden="1" x14ac:dyDescent="0.3">
      <c r="B878" s="56"/>
      <c r="C878" s="57"/>
    </row>
    <row r="879" spans="2:3" hidden="1" x14ac:dyDescent="0.3">
      <c r="B879" s="56"/>
      <c r="C879" s="57"/>
    </row>
    <row r="880" spans="2:3" hidden="1" x14ac:dyDescent="0.3">
      <c r="B880" s="56"/>
      <c r="C880" s="57"/>
    </row>
    <row r="881" spans="2:3" hidden="1" x14ac:dyDescent="0.3">
      <c r="B881" s="56"/>
      <c r="C881" s="57"/>
    </row>
    <row r="882" spans="2:3" hidden="1" x14ac:dyDescent="0.3">
      <c r="B882" s="56"/>
      <c r="C882" s="57"/>
    </row>
    <row r="883" spans="2:3" hidden="1" x14ac:dyDescent="0.3">
      <c r="B883" s="56"/>
      <c r="C883" s="57"/>
    </row>
    <row r="884" spans="2:3" hidden="1" x14ac:dyDescent="0.3">
      <c r="B884" s="56"/>
      <c r="C884" s="57"/>
    </row>
    <row r="885" spans="2:3" hidden="1" x14ac:dyDescent="0.3">
      <c r="B885" s="56"/>
      <c r="C885" s="57"/>
    </row>
    <row r="886" spans="2:3" hidden="1" x14ac:dyDescent="0.3">
      <c r="B886" s="56"/>
      <c r="C886" s="57"/>
    </row>
    <row r="887" spans="2:3" hidden="1" x14ac:dyDescent="0.3">
      <c r="B887" s="56"/>
      <c r="C887" s="57"/>
    </row>
    <row r="888" spans="2:3" hidden="1" x14ac:dyDescent="0.3">
      <c r="B888" s="56"/>
      <c r="C888" s="57"/>
    </row>
    <row r="889" spans="2:3" hidden="1" x14ac:dyDescent="0.3">
      <c r="B889" s="56"/>
      <c r="C889" s="57"/>
    </row>
    <row r="890" spans="2:3" hidden="1" x14ac:dyDescent="0.3">
      <c r="B890" s="56"/>
      <c r="C890" s="57"/>
    </row>
    <row r="891" spans="2:3" hidden="1" x14ac:dyDescent="0.3">
      <c r="B891" s="56"/>
      <c r="C891" s="57"/>
    </row>
    <row r="892" spans="2:3" hidden="1" x14ac:dyDescent="0.3">
      <c r="B892" s="56"/>
      <c r="C892" s="57"/>
    </row>
    <row r="893" spans="2:3" hidden="1" x14ac:dyDescent="0.3">
      <c r="B893" s="3"/>
      <c r="C893" s="53"/>
    </row>
    <row r="894" spans="2:3" hidden="1" x14ac:dyDescent="0.3">
      <c r="B894" s="54"/>
      <c r="C894" s="55"/>
    </row>
    <row r="895" spans="2:3" hidden="1" x14ac:dyDescent="0.3">
      <c r="B895" s="56"/>
      <c r="C895" s="57"/>
    </row>
    <row r="896" spans="2:3" hidden="1" x14ac:dyDescent="0.3">
      <c r="B896" s="56"/>
      <c r="C896" s="57"/>
    </row>
    <row r="897" spans="2:3" hidden="1" x14ac:dyDescent="0.3">
      <c r="B897" s="56"/>
      <c r="C897" s="57"/>
    </row>
    <row r="898" spans="2:3" hidden="1" x14ac:dyDescent="0.3">
      <c r="B898" s="56"/>
      <c r="C898" s="57"/>
    </row>
    <row r="899" spans="2:3" hidden="1" x14ac:dyDescent="0.3">
      <c r="B899" s="56"/>
      <c r="C899" s="57"/>
    </row>
    <row r="900" spans="2:3" hidden="1" x14ac:dyDescent="0.3">
      <c r="B900" s="56"/>
      <c r="C900" s="57"/>
    </row>
    <row r="901" spans="2:3" hidden="1" x14ac:dyDescent="0.3">
      <c r="B901" s="56"/>
      <c r="C901" s="57"/>
    </row>
    <row r="902" spans="2:3" hidden="1" x14ac:dyDescent="0.3">
      <c r="B902" s="56"/>
      <c r="C902" s="57"/>
    </row>
    <row r="903" spans="2:3" hidden="1" x14ac:dyDescent="0.3">
      <c r="B903" s="56"/>
      <c r="C903" s="57"/>
    </row>
    <row r="904" spans="2:3" hidden="1" x14ac:dyDescent="0.3">
      <c r="B904" s="56"/>
      <c r="C904" s="57"/>
    </row>
    <row r="905" spans="2:3" hidden="1" x14ac:dyDescent="0.3">
      <c r="B905" s="56"/>
      <c r="C905" s="57"/>
    </row>
    <row r="906" spans="2:3" hidden="1" x14ac:dyDescent="0.3">
      <c r="B906" s="56"/>
      <c r="C906" s="57"/>
    </row>
    <row r="907" spans="2:3" hidden="1" x14ac:dyDescent="0.3">
      <c r="B907" s="56"/>
      <c r="C907" s="57"/>
    </row>
    <row r="908" spans="2:3" hidden="1" x14ac:dyDescent="0.3">
      <c r="B908" s="56"/>
      <c r="C908" s="57"/>
    </row>
    <row r="909" spans="2:3" hidden="1" x14ac:dyDescent="0.3">
      <c r="B909" s="56"/>
      <c r="C909" s="57"/>
    </row>
    <row r="910" spans="2:3" hidden="1" x14ac:dyDescent="0.3">
      <c r="B910" s="56"/>
      <c r="C910" s="57"/>
    </row>
    <row r="911" spans="2:3" hidden="1" x14ac:dyDescent="0.3">
      <c r="B911" s="56"/>
      <c r="C911" s="57"/>
    </row>
    <row r="912" spans="2:3" hidden="1" x14ac:dyDescent="0.3">
      <c r="B912" s="56"/>
      <c r="C912" s="57"/>
    </row>
    <row r="913" spans="2:3" hidden="1" x14ac:dyDescent="0.3">
      <c r="B913" s="56"/>
      <c r="C913" s="57"/>
    </row>
    <row r="914" spans="2:3" hidden="1" x14ac:dyDescent="0.3">
      <c r="B914" s="56"/>
      <c r="C914" s="57"/>
    </row>
    <row r="915" spans="2:3" hidden="1" x14ac:dyDescent="0.3">
      <c r="B915" s="56"/>
      <c r="C915" s="57"/>
    </row>
    <row r="916" spans="2:3" hidden="1" x14ac:dyDescent="0.3">
      <c r="B916" s="56"/>
      <c r="C916" s="57"/>
    </row>
    <row r="917" spans="2:3" hidden="1" x14ac:dyDescent="0.3">
      <c r="B917" s="56"/>
      <c r="C917" s="57"/>
    </row>
    <row r="918" spans="2:3" hidden="1" x14ac:dyDescent="0.3">
      <c r="B918" s="56"/>
      <c r="C918" s="57"/>
    </row>
    <row r="919" spans="2:3" hidden="1" x14ac:dyDescent="0.3">
      <c r="B919" s="56"/>
      <c r="C919" s="57"/>
    </row>
    <row r="920" spans="2:3" hidden="1" x14ac:dyDescent="0.3">
      <c r="B920" s="56"/>
      <c r="C920" s="57"/>
    </row>
    <row r="921" spans="2:3" hidden="1" x14ac:dyDescent="0.3">
      <c r="B921" s="56"/>
      <c r="C921" s="57"/>
    </row>
    <row r="922" spans="2:3" hidden="1" x14ac:dyDescent="0.3">
      <c r="B922" s="3"/>
      <c r="C922" s="53"/>
    </row>
    <row r="923" spans="2:3" hidden="1" x14ac:dyDescent="0.3">
      <c r="B923" s="54"/>
      <c r="C923" s="55"/>
    </row>
    <row r="924" spans="2:3" hidden="1" x14ac:dyDescent="0.3">
      <c r="B924" s="56"/>
      <c r="C924" s="57"/>
    </row>
    <row r="925" spans="2:3" hidden="1" x14ac:dyDescent="0.3">
      <c r="B925" s="56"/>
      <c r="C925" s="57"/>
    </row>
    <row r="926" spans="2:3" hidden="1" x14ac:dyDescent="0.3">
      <c r="B926" s="56"/>
      <c r="C926" s="57"/>
    </row>
    <row r="927" spans="2:3" hidden="1" x14ac:dyDescent="0.3">
      <c r="B927" s="56"/>
      <c r="C927" s="57"/>
    </row>
    <row r="928" spans="2:3" hidden="1" x14ac:dyDescent="0.3">
      <c r="B928" s="56"/>
      <c r="C928" s="57"/>
    </row>
    <row r="929" spans="2:3" hidden="1" x14ac:dyDescent="0.3">
      <c r="B929" s="56"/>
      <c r="C929" s="57"/>
    </row>
    <row r="930" spans="2:3" hidden="1" x14ac:dyDescent="0.3">
      <c r="B930" s="56"/>
      <c r="C930" s="57"/>
    </row>
    <row r="931" spans="2:3" hidden="1" x14ac:dyDescent="0.3">
      <c r="B931" s="56"/>
      <c r="C931" s="57"/>
    </row>
    <row r="932" spans="2:3" hidden="1" x14ac:dyDescent="0.3">
      <c r="B932" s="56"/>
      <c r="C932" s="57"/>
    </row>
    <row r="933" spans="2:3" hidden="1" x14ac:dyDescent="0.3">
      <c r="B933" s="56"/>
      <c r="C933" s="57"/>
    </row>
    <row r="934" spans="2:3" hidden="1" x14ac:dyDescent="0.3">
      <c r="B934" s="56"/>
      <c r="C934" s="57"/>
    </row>
    <row r="935" spans="2:3" hidden="1" x14ac:dyDescent="0.3">
      <c r="B935" s="56"/>
      <c r="C935" s="57"/>
    </row>
    <row r="936" spans="2:3" hidden="1" x14ac:dyDescent="0.3">
      <c r="B936" s="56"/>
      <c r="C936" s="57"/>
    </row>
    <row r="937" spans="2:3" hidden="1" x14ac:dyDescent="0.3">
      <c r="B937" s="56"/>
      <c r="C937" s="57"/>
    </row>
    <row r="938" spans="2:3" hidden="1" x14ac:dyDescent="0.3">
      <c r="B938" s="56"/>
      <c r="C938" s="57"/>
    </row>
    <row r="939" spans="2:3" hidden="1" x14ac:dyDescent="0.3">
      <c r="B939" s="56"/>
      <c r="C939" s="57"/>
    </row>
    <row r="940" spans="2:3" hidden="1" x14ac:dyDescent="0.3">
      <c r="B940" s="56"/>
      <c r="C940" s="57"/>
    </row>
    <row r="941" spans="2:3" hidden="1" x14ac:dyDescent="0.3">
      <c r="B941" s="56"/>
      <c r="C941" s="57"/>
    </row>
    <row r="942" spans="2:3" hidden="1" x14ac:dyDescent="0.3">
      <c r="B942" s="3"/>
      <c r="C942" s="53"/>
    </row>
    <row r="943" spans="2:3" hidden="1" x14ac:dyDescent="0.3">
      <c r="B943" s="54"/>
      <c r="C943" s="55"/>
    </row>
    <row r="944" spans="2:3" hidden="1" x14ac:dyDescent="0.3">
      <c r="B944" s="56"/>
      <c r="C944" s="57"/>
    </row>
    <row r="945" spans="2:3" hidden="1" x14ac:dyDescent="0.3">
      <c r="B945" s="56"/>
      <c r="C945" s="57"/>
    </row>
    <row r="946" spans="2:3" hidden="1" x14ac:dyDescent="0.3">
      <c r="B946" s="56"/>
      <c r="C946" s="57"/>
    </row>
    <row r="947" spans="2:3" hidden="1" x14ac:dyDescent="0.3">
      <c r="B947" s="56"/>
      <c r="C947" s="57"/>
    </row>
    <row r="948" spans="2:3" hidden="1" x14ac:dyDescent="0.3">
      <c r="B948" s="56"/>
      <c r="C948" s="57"/>
    </row>
    <row r="949" spans="2:3" hidden="1" x14ac:dyDescent="0.3">
      <c r="B949" s="56"/>
      <c r="C949" s="57"/>
    </row>
    <row r="950" spans="2:3" hidden="1" x14ac:dyDescent="0.3">
      <c r="B950" s="56"/>
      <c r="C950" s="57"/>
    </row>
    <row r="951" spans="2:3" hidden="1" x14ac:dyDescent="0.3">
      <c r="B951" s="56"/>
      <c r="C951" s="57"/>
    </row>
    <row r="952" spans="2:3" hidden="1" x14ac:dyDescent="0.3">
      <c r="B952" s="56"/>
      <c r="C952" s="57"/>
    </row>
    <row r="953" spans="2:3" hidden="1" x14ac:dyDescent="0.3">
      <c r="B953" s="56"/>
      <c r="C953" s="57"/>
    </row>
    <row r="954" spans="2:3" hidden="1" x14ac:dyDescent="0.3">
      <c r="B954" s="56"/>
      <c r="C954" s="57"/>
    </row>
    <row r="955" spans="2:3" hidden="1" x14ac:dyDescent="0.3">
      <c r="B955" s="56"/>
      <c r="C955" s="57"/>
    </row>
    <row r="956" spans="2:3" hidden="1" x14ac:dyDescent="0.3">
      <c r="B956" s="56"/>
      <c r="C956" s="57"/>
    </row>
    <row r="957" spans="2:3" hidden="1" x14ac:dyDescent="0.3">
      <c r="B957" s="56"/>
      <c r="C957" s="57"/>
    </row>
    <row r="958" spans="2:3" hidden="1" x14ac:dyDescent="0.3">
      <c r="B958" s="56"/>
      <c r="C958" s="57"/>
    </row>
    <row r="959" spans="2:3" hidden="1" x14ac:dyDescent="0.3">
      <c r="B959" s="56"/>
      <c r="C959" s="57"/>
    </row>
    <row r="960" spans="2:3" hidden="1" x14ac:dyDescent="0.3">
      <c r="B960" s="56"/>
      <c r="C960" s="57"/>
    </row>
    <row r="961" spans="2:3" hidden="1" x14ac:dyDescent="0.3">
      <c r="B961" s="56"/>
      <c r="C961" s="57"/>
    </row>
    <row r="962" spans="2:3" hidden="1" x14ac:dyDescent="0.3">
      <c r="B962" s="56"/>
      <c r="C962" s="57"/>
    </row>
    <row r="963" spans="2:3" hidden="1" x14ac:dyDescent="0.3">
      <c r="B963" s="56"/>
      <c r="C963" s="57"/>
    </row>
    <row r="964" spans="2:3" hidden="1" x14ac:dyDescent="0.3">
      <c r="B964" s="56"/>
      <c r="C964" s="57"/>
    </row>
    <row r="965" spans="2:3" hidden="1" x14ac:dyDescent="0.3">
      <c r="B965" s="56"/>
      <c r="C965" s="57"/>
    </row>
    <row r="966" spans="2:3" hidden="1" x14ac:dyDescent="0.3">
      <c r="B966" s="56"/>
      <c r="C966" s="57"/>
    </row>
    <row r="967" spans="2:3" hidden="1" x14ac:dyDescent="0.3">
      <c r="B967" s="56"/>
      <c r="C967" s="57"/>
    </row>
    <row r="968" spans="2:3" hidden="1" x14ac:dyDescent="0.3">
      <c r="B968" s="56"/>
      <c r="C968" s="57"/>
    </row>
    <row r="969" spans="2:3" hidden="1" x14ac:dyDescent="0.3">
      <c r="B969" s="56"/>
      <c r="C969" s="57"/>
    </row>
    <row r="970" spans="2:3" hidden="1" x14ac:dyDescent="0.3">
      <c r="B970" s="56"/>
      <c r="C970" s="57"/>
    </row>
    <row r="971" spans="2:3" hidden="1" x14ac:dyDescent="0.3">
      <c r="B971" s="56"/>
      <c r="C971" s="57"/>
    </row>
    <row r="972" spans="2:3" hidden="1" x14ac:dyDescent="0.3">
      <c r="B972" s="3"/>
      <c r="C972" s="53"/>
    </row>
    <row r="973" spans="2:3" hidden="1" x14ac:dyDescent="0.3">
      <c r="B973" s="54"/>
      <c r="C973" s="55"/>
    </row>
    <row r="974" spans="2:3" hidden="1" x14ac:dyDescent="0.3">
      <c r="B974" s="56"/>
      <c r="C974" s="57"/>
    </row>
    <row r="975" spans="2:3" hidden="1" x14ac:dyDescent="0.3">
      <c r="B975" s="56"/>
      <c r="C975" s="57"/>
    </row>
    <row r="976" spans="2:3" hidden="1" x14ac:dyDescent="0.3">
      <c r="B976" s="56"/>
      <c r="C976" s="57"/>
    </row>
    <row r="977" spans="2:3" hidden="1" x14ac:dyDescent="0.3">
      <c r="B977" s="56"/>
      <c r="C977" s="57"/>
    </row>
    <row r="978" spans="2:3" hidden="1" x14ac:dyDescent="0.3">
      <c r="B978" s="56"/>
      <c r="C978" s="57"/>
    </row>
    <row r="979" spans="2:3" hidden="1" x14ac:dyDescent="0.3">
      <c r="B979" s="56"/>
      <c r="C979" s="57"/>
    </row>
    <row r="980" spans="2:3" hidden="1" x14ac:dyDescent="0.3">
      <c r="B980" s="56"/>
      <c r="C980" s="57"/>
    </row>
    <row r="981" spans="2:3" hidden="1" x14ac:dyDescent="0.3">
      <c r="B981" s="56"/>
      <c r="C981" s="57"/>
    </row>
    <row r="982" spans="2:3" hidden="1" x14ac:dyDescent="0.3">
      <c r="B982" s="56"/>
      <c r="C982" s="57"/>
    </row>
    <row r="983" spans="2:3" hidden="1" x14ac:dyDescent="0.3">
      <c r="B983" s="56"/>
      <c r="C983" s="57"/>
    </row>
    <row r="984" spans="2:3" hidden="1" x14ac:dyDescent="0.3">
      <c r="B984" s="56"/>
      <c r="C984" s="57"/>
    </row>
    <row r="985" spans="2:3" hidden="1" x14ac:dyDescent="0.3">
      <c r="B985" s="56"/>
      <c r="C985" s="57"/>
    </row>
    <row r="986" spans="2:3" hidden="1" x14ac:dyDescent="0.3">
      <c r="B986" s="56"/>
      <c r="C986" s="57"/>
    </row>
    <row r="987" spans="2:3" hidden="1" x14ac:dyDescent="0.3">
      <c r="B987" s="56"/>
      <c r="C987" s="57"/>
    </row>
    <row r="988" spans="2:3" hidden="1" x14ac:dyDescent="0.3">
      <c r="B988" s="56"/>
      <c r="C988" s="57"/>
    </row>
    <row r="989" spans="2:3" hidden="1" x14ac:dyDescent="0.3">
      <c r="B989" s="56"/>
      <c r="C989" s="57"/>
    </row>
    <row r="990" spans="2:3" hidden="1" x14ac:dyDescent="0.3">
      <c r="B990" s="56"/>
      <c r="C990" s="57"/>
    </row>
    <row r="991" spans="2:3" hidden="1" x14ac:dyDescent="0.3">
      <c r="B991" s="56"/>
      <c r="C991" s="57"/>
    </row>
    <row r="992" spans="2:3" hidden="1" x14ac:dyDescent="0.3">
      <c r="B992" s="3"/>
      <c r="C992" s="53"/>
    </row>
    <row r="993" spans="2:3" hidden="1" x14ac:dyDescent="0.3">
      <c r="B993" s="54"/>
      <c r="C993" s="55"/>
    </row>
    <row r="994" spans="2:3" hidden="1" x14ac:dyDescent="0.3">
      <c r="B994" s="56"/>
      <c r="C994" s="57"/>
    </row>
    <row r="995" spans="2:3" hidden="1" x14ac:dyDescent="0.3">
      <c r="B995" s="56"/>
      <c r="C995" s="57"/>
    </row>
    <row r="996" spans="2:3" hidden="1" x14ac:dyDescent="0.3">
      <c r="B996" s="56"/>
      <c r="C996" s="57"/>
    </row>
    <row r="997" spans="2:3" hidden="1" x14ac:dyDescent="0.3">
      <c r="B997" s="56"/>
      <c r="C997" s="57"/>
    </row>
    <row r="998" spans="2:3" hidden="1" x14ac:dyDescent="0.3">
      <c r="B998" s="56"/>
      <c r="C998" s="57"/>
    </row>
    <row r="999" spans="2:3" hidden="1" x14ac:dyDescent="0.3">
      <c r="B999" s="56"/>
      <c r="C999" s="57"/>
    </row>
    <row r="1000" spans="2:3" hidden="1" x14ac:dyDescent="0.3">
      <c r="B1000" s="56"/>
      <c r="C1000" s="57"/>
    </row>
    <row r="1001" spans="2:3" hidden="1" x14ac:dyDescent="0.3">
      <c r="B1001" s="56"/>
      <c r="C1001" s="57"/>
    </row>
    <row r="1002" spans="2:3" hidden="1" x14ac:dyDescent="0.3">
      <c r="B1002" s="56"/>
      <c r="C1002" s="57"/>
    </row>
    <row r="1003" spans="2:3" hidden="1" x14ac:dyDescent="0.3">
      <c r="B1003" s="56"/>
      <c r="C1003" s="57"/>
    </row>
    <row r="1004" spans="2:3" hidden="1" x14ac:dyDescent="0.3">
      <c r="B1004" s="56"/>
      <c r="C1004" s="57"/>
    </row>
    <row r="1005" spans="2:3" hidden="1" x14ac:dyDescent="0.3">
      <c r="B1005" s="56"/>
      <c r="C1005" s="57"/>
    </row>
    <row r="1006" spans="2:3" hidden="1" x14ac:dyDescent="0.3">
      <c r="B1006" s="56"/>
      <c r="C1006" s="57"/>
    </row>
    <row r="1007" spans="2:3" hidden="1" x14ac:dyDescent="0.3">
      <c r="B1007" s="56"/>
      <c r="C1007" s="57"/>
    </row>
    <row r="1008" spans="2:3" hidden="1" x14ac:dyDescent="0.3">
      <c r="B1008" s="56"/>
      <c r="C1008" s="57"/>
    </row>
    <row r="1009" spans="2:3" hidden="1" x14ac:dyDescent="0.3">
      <c r="B1009" s="3"/>
      <c r="C1009" s="53"/>
    </row>
    <row r="1010" spans="2:3" hidden="1" x14ac:dyDescent="0.3">
      <c r="B1010" s="54"/>
      <c r="C1010" s="55"/>
    </row>
    <row r="1011" spans="2:3" hidden="1" x14ac:dyDescent="0.3">
      <c r="B1011" s="56"/>
      <c r="C1011" s="57"/>
    </row>
    <row r="1012" spans="2:3" hidden="1" x14ac:dyDescent="0.3">
      <c r="B1012" s="56"/>
      <c r="C1012" s="57"/>
    </row>
    <row r="1013" spans="2:3" hidden="1" x14ac:dyDescent="0.3">
      <c r="B1013" s="56"/>
      <c r="C1013" s="57"/>
    </row>
    <row r="1014" spans="2:3" hidden="1" x14ac:dyDescent="0.3">
      <c r="B1014" s="56"/>
      <c r="C1014" s="57"/>
    </row>
    <row r="1015" spans="2:3" hidden="1" x14ac:dyDescent="0.3">
      <c r="B1015" s="56"/>
      <c r="C1015" s="57"/>
    </row>
    <row r="1016" spans="2:3" hidden="1" x14ac:dyDescent="0.3">
      <c r="B1016" s="56"/>
      <c r="C1016" s="57"/>
    </row>
    <row r="1017" spans="2:3" hidden="1" x14ac:dyDescent="0.3">
      <c r="B1017" s="56"/>
      <c r="C1017" s="57"/>
    </row>
    <row r="1018" spans="2:3" hidden="1" x14ac:dyDescent="0.3">
      <c r="B1018" s="56"/>
      <c r="C1018" s="57"/>
    </row>
    <row r="1019" spans="2:3" hidden="1" x14ac:dyDescent="0.3">
      <c r="B1019" s="56"/>
      <c r="C1019" s="57"/>
    </row>
    <row r="1020" spans="2:3" hidden="1" x14ac:dyDescent="0.3">
      <c r="B1020" s="56"/>
      <c r="C1020" s="57"/>
    </row>
    <row r="1021" spans="2:3" hidden="1" x14ac:dyDescent="0.3">
      <c r="B1021" s="56"/>
      <c r="C1021" s="57"/>
    </row>
    <row r="1022" spans="2:3" hidden="1" x14ac:dyDescent="0.3">
      <c r="B1022" s="56"/>
      <c r="C1022" s="57"/>
    </row>
    <row r="1023" spans="2:3" hidden="1" x14ac:dyDescent="0.3">
      <c r="B1023" s="56"/>
      <c r="C1023" s="57"/>
    </row>
    <row r="1024" spans="2:3" hidden="1" x14ac:dyDescent="0.3">
      <c r="B1024" s="56"/>
      <c r="C1024" s="57"/>
    </row>
    <row r="1025" spans="2:3" hidden="1" x14ac:dyDescent="0.3">
      <c r="B1025" s="56"/>
      <c r="C1025" s="57"/>
    </row>
    <row r="1026" spans="2:3" hidden="1" x14ac:dyDescent="0.3">
      <c r="B1026" s="56"/>
      <c r="C1026" s="57"/>
    </row>
    <row r="1027" spans="2:3" hidden="1" x14ac:dyDescent="0.3">
      <c r="B1027" s="56"/>
      <c r="C1027" s="57"/>
    </row>
    <row r="1028" spans="2:3" hidden="1" x14ac:dyDescent="0.3">
      <c r="B1028" s="56"/>
      <c r="C1028" s="57"/>
    </row>
    <row r="1029" spans="2:3" hidden="1" x14ac:dyDescent="0.3">
      <c r="B1029" s="56"/>
      <c r="C1029" s="57"/>
    </row>
    <row r="1030" spans="2:3" hidden="1" x14ac:dyDescent="0.3">
      <c r="B1030" s="56"/>
      <c r="C1030" s="57"/>
    </row>
    <row r="1031" spans="2:3" hidden="1" x14ac:dyDescent="0.3">
      <c r="B1031" s="56"/>
      <c r="C1031" s="57"/>
    </row>
    <row r="1032" spans="2:3" hidden="1" x14ac:dyDescent="0.3">
      <c r="B1032" s="56"/>
      <c r="C1032" s="57"/>
    </row>
    <row r="1033" spans="2:3" hidden="1" x14ac:dyDescent="0.3">
      <c r="B1033" s="56"/>
      <c r="C1033" s="57"/>
    </row>
    <row r="1034" spans="2:3" hidden="1" x14ac:dyDescent="0.3">
      <c r="B1034" s="56"/>
      <c r="C1034" s="57"/>
    </row>
    <row r="1035" spans="2:3" hidden="1" x14ac:dyDescent="0.3">
      <c r="B1035" s="56"/>
      <c r="C1035" s="57"/>
    </row>
    <row r="1036" spans="2:3" hidden="1" x14ac:dyDescent="0.3">
      <c r="B1036" s="56"/>
      <c r="C1036" s="57"/>
    </row>
    <row r="1037" spans="2:3" hidden="1" x14ac:dyDescent="0.3">
      <c r="B1037" s="56"/>
      <c r="C1037" s="57"/>
    </row>
    <row r="1038" spans="2:3" hidden="1" x14ac:dyDescent="0.3">
      <c r="B1038" s="56"/>
      <c r="C1038" s="57"/>
    </row>
    <row r="1039" spans="2:3" hidden="1" x14ac:dyDescent="0.3">
      <c r="B1039" s="56"/>
      <c r="C1039" s="57"/>
    </row>
    <row r="1040" spans="2:3" hidden="1" x14ac:dyDescent="0.3">
      <c r="B1040" s="56"/>
      <c r="C1040" s="57"/>
    </row>
    <row r="1041" spans="2:3" hidden="1" x14ac:dyDescent="0.3">
      <c r="B1041" s="56"/>
      <c r="C1041" s="57"/>
    </row>
    <row r="1042" spans="2:3" hidden="1" x14ac:dyDescent="0.3">
      <c r="B1042" s="3"/>
      <c r="C1042" s="53"/>
    </row>
    <row r="1043" spans="2:3" hidden="1" x14ac:dyDescent="0.3">
      <c r="B1043" s="54"/>
      <c r="C1043" s="55"/>
    </row>
    <row r="1044" spans="2:3" hidden="1" x14ac:dyDescent="0.3">
      <c r="B1044" s="56"/>
      <c r="C1044" s="57"/>
    </row>
    <row r="1045" spans="2:3" hidden="1" x14ac:dyDescent="0.3">
      <c r="B1045" s="56"/>
      <c r="C1045" s="57"/>
    </row>
    <row r="1046" spans="2:3" hidden="1" x14ac:dyDescent="0.3">
      <c r="B1046" s="56"/>
      <c r="C1046" s="57"/>
    </row>
    <row r="1047" spans="2:3" hidden="1" x14ac:dyDescent="0.3">
      <c r="B1047" s="56"/>
      <c r="C1047" s="57"/>
    </row>
    <row r="1048" spans="2:3" hidden="1" x14ac:dyDescent="0.3">
      <c r="B1048" s="56"/>
      <c r="C1048" s="57"/>
    </row>
    <row r="1049" spans="2:3" hidden="1" x14ac:dyDescent="0.3">
      <c r="B1049" s="56"/>
      <c r="C1049" s="57"/>
    </row>
    <row r="1050" spans="2:3" hidden="1" x14ac:dyDescent="0.3">
      <c r="B1050" s="56"/>
      <c r="C1050" s="57"/>
    </row>
    <row r="1051" spans="2:3" hidden="1" x14ac:dyDescent="0.3">
      <c r="B1051" s="56"/>
      <c r="C1051" s="57"/>
    </row>
    <row r="1052" spans="2:3" hidden="1" x14ac:dyDescent="0.3">
      <c r="B1052" s="56"/>
      <c r="C1052" s="57"/>
    </row>
    <row r="1053" spans="2:3" hidden="1" x14ac:dyDescent="0.3">
      <c r="B1053" s="56"/>
      <c r="C1053" s="57"/>
    </row>
    <row r="1054" spans="2:3" hidden="1" x14ac:dyDescent="0.3">
      <c r="B1054" s="56"/>
      <c r="C1054" s="57"/>
    </row>
    <row r="1055" spans="2:3" hidden="1" x14ac:dyDescent="0.3">
      <c r="B1055" s="56"/>
      <c r="C1055" s="57"/>
    </row>
    <row r="1056" spans="2:3" hidden="1" x14ac:dyDescent="0.3">
      <c r="B1056" s="56"/>
      <c r="C1056" s="57"/>
    </row>
    <row r="1057" spans="2:3" hidden="1" x14ac:dyDescent="0.3">
      <c r="B1057" s="56"/>
      <c r="C1057" s="57"/>
    </row>
    <row r="1058" spans="2:3" hidden="1" x14ac:dyDescent="0.3">
      <c r="B1058" s="56"/>
      <c r="C1058" s="57"/>
    </row>
    <row r="1059" spans="2:3" hidden="1" x14ac:dyDescent="0.3">
      <c r="B1059" s="56"/>
      <c r="C1059" s="57"/>
    </row>
    <row r="1060" spans="2:3" hidden="1" x14ac:dyDescent="0.3">
      <c r="B1060" s="56"/>
      <c r="C1060" s="57"/>
    </row>
    <row r="1061" spans="2:3" hidden="1" x14ac:dyDescent="0.3">
      <c r="B1061" s="56"/>
      <c r="C1061" s="57"/>
    </row>
    <row r="1062" spans="2:3" hidden="1" x14ac:dyDescent="0.3">
      <c r="B1062" s="3"/>
      <c r="C1062" s="53"/>
    </row>
    <row r="1063" spans="2:3" hidden="1" x14ac:dyDescent="0.3">
      <c r="B1063" s="3"/>
      <c r="C1063" s="53"/>
    </row>
    <row r="1064" spans="2:3" hidden="1" x14ac:dyDescent="0.3">
      <c r="B1064" s="3"/>
      <c r="C1064" s="53"/>
    </row>
    <row r="1065" spans="2:3" hidden="1" x14ac:dyDescent="0.3">
      <c r="B1065" s="3"/>
      <c r="C1065" s="53"/>
    </row>
    <row r="1066" spans="2:3" hidden="1" x14ac:dyDescent="0.3">
      <c r="B1066" s="3"/>
      <c r="C1066" s="53"/>
    </row>
    <row r="1067" spans="2:3" hidden="1" x14ac:dyDescent="0.3">
      <c r="B1067" s="3"/>
      <c r="C1067" s="53"/>
    </row>
    <row r="1068" spans="2:3" hidden="1" x14ac:dyDescent="0.3">
      <c r="B1068" s="3"/>
      <c r="C1068" s="53"/>
    </row>
    <row r="1069" spans="2:3" hidden="1" x14ac:dyDescent="0.3">
      <c r="B1069" s="3"/>
      <c r="C1069" s="53"/>
    </row>
    <row r="1070" spans="2:3" hidden="1" x14ac:dyDescent="0.3">
      <c r="B1070" s="3"/>
      <c r="C1070" s="53"/>
    </row>
    <row r="1071" spans="2:3" hidden="1" x14ac:dyDescent="0.3">
      <c r="B1071" s="3"/>
      <c r="C1071" s="53"/>
    </row>
    <row r="1072" spans="2:3" hidden="1" x14ac:dyDescent="0.3">
      <c r="B1072" s="3"/>
      <c r="C1072" s="53"/>
    </row>
    <row r="1073" spans="2:3" hidden="1" x14ac:dyDescent="0.3">
      <c r="B1073" s="3"/>
      <c r="C1073" s="53"/>
    </row>
    <row r="1074" spans="2:3" hidden="1" x14ac:dyDescent="0.3">
      <c r="B1074" s="3"/>
      <c r="C1074" s="53"/>
    </row>
    <row r="1075" spans="2:3" hidden="1" x14ac:dyDescent="0.3">
      <c r="B1075" s="3"/>
      <c r="C1075" s="53"/>
    </row>
    <row r="1076" spans="2:3" hidden="1" x14ac:dyDescent="0.3">
      <c r="B1076" s="54"/>
      <c r="C1076" s="55"/>
    </row>
    <row r="1077" spans="2:3" hidden="1" x14ac:dyDescent="0.3">
      <c r="B1077" s="56"/>
      <c r="C1077" s="57"/>
    </row>
    <row r="1078" spans="2:3" hidden="1" x14ac:dyDescent="0.3">
      <c r="B1078" s="56"/>
      <c r="C1078" s="57"/>
    </row>
    <row r="1079" spans="2:3" hidden="1" x14ac:dyDescent="0.3">
      <c r="B1079" s="56"/>
      <c r="C1079" s="57"/>
    </row>
    <row r="1080" spans="2:3" hidden="1" x14ac:dyDescent="0.3">
      <c r="B1080" s="56"/>
      <c r="C1080" s="57"/>
    </row>
    <row r="1081" spans="2:3" hidden="1" x14ac:dyDescent="0.3">
      <c r="B1081" s="56"/>
      <c r="C1081" s="57"/>
    </row>
    <row r="1082" spans="2:3" hidden="1" x14ac:dyDescent="0.3">
      <c r="B1082" s="56"/>
      <c r="C1082" s="57"/>
    </row>
    <row r="1083" spans="2:3" hidden="1" x14ac:dyDescent="0.3">
      <c r="B1083" s="56"/>
      <c r="C1083" s="57"/>
    </row>
    <row r="1084" spans="2:3" hidden="1" x14ac:dyDescent="0.3">
      <c r="B1084" s="56"/>
      <c r="C1084" s="57"/>
    </row>
    <row r="1085" spans="2:3" hidden="1" x14ac:dyDescent="0.3">
      <c r="B1085" s="56"/>
      <c r="C1085" s="57"/>
    </row>
    <row r="1086" spans="2:3" hidden="1" x14ac:dyDescent="0.3">
      <c r="B1086" s="56"/>
      <c r="C1086" s="57"/>
    </row>
    <row r="1087" spans="2:3" hidden="1" x14ac:dyDescent="0.3">
      <c r="B1087" s="56"/>
      <c r="C1087" s="57"/>
    </row>
    <row r="1088" spans="2:3" hidden="1" x14ac:dyDescent="0.3">
      <c r="B1088" s="56"/>
      <c r="C1088" s="57"/>
    </row>
    <row r="1089" spans="2:3" hidden="1" x14ac:dyDescent="0.3">
      <c r="B1089" s="56"/>
      <c r="C1089" s="57"/>
    </row>
    <row r="1090" spans="2:3" hidden="1" x14ac:dyDescent="0.3">
      <c r="B1090" s="56"/>
      <c r="C1090" s="57"/>
    </row>
    <row r="1091" spans="2:3" hidden="1" x14ac:dyDescent="0.3">
      <c r="B1091" s="56"/>
      <c r="C1091" s="57"/>
    </row>
    <row r="1092" spans="2:3" hidden="1" x14ac:dyDescent="0.3">
      <c r="B1092" s="56"/>
      <c r="C1092" s="57"/>
    </row>
    <row r="1093" spans="2:3" hidden="1" x14ac:dyDescent="0.3">
      <c r="B1093" s="56"/>
      <c r="C1093" s="57"/>
    </row>
    <row r="1094" spans="2:3" hidden="1" x14ac:dyDescent="0.3">
      <c r="B1094" s="56"/>
      <c r="C1094" s="57"/>
    </row>
    <row r="1095" spans="2:3" hidden="1" x14ac:dyDescent="0.3">
      <c r="B1095" s="56"/>
      <c r="C1095" s="57"/>
    </row>
    <row r="1096" spans="2:3" hidden="1" x14ac:dyDescent="0.3">
      <c r="B1096" s="56"/>
      <c r="C1096" s="57"/>
    </row>
    <row r="1097" spans="2:3" hidden="1" x14ac:dyDescent="0.3">
      <c r="B1097" s="56"/>
      <c r="C1097" s="57"/>
    </row>
    <row r="1098" spans="2:3" hidden="1" x14ac:dyDescent="0.3">
      <c r="B1098" s="56"/>
      <c r="C1098" s="57"/>
    </row>
    <row r="1099" spans="2:3" hidden="1" x14ac:dyDescent="0.3">
      <c r="B1099" s="56"/>
      <c r="C1099" s="57"/>
    </row>
    <row r="1100" spans="2:3" hidden="1" x14ac:dyDescent="0.3">
      <c r="B1100" s="56"/>
      <c r="C1100" s="57"/>
    </row>
    <row r="1101" spans="2:3" hidden="1" x14ac:dyDescent="0.3">
      <c r="B1101" s="56"/>
      <c r="C1101" s="57"/>
    </row>
    <row r="1102" spans="2:3" hidden="1" x14ac:dyDescent="0.3">
      <c r="B1102" s="3"/>
      <c r="C1102" s="53"/>
    </row>
    <row r="1103" spans="2:3" hidden="1" x14ac:dyDescent="0.3">
      <c r="B1103" s="54"/>
      <c r="C1103" s="55"/>
    </row>
    <row r="1104" spans="2:3" hidden="1" x14ac:dyDescent="0.3">
      <c r="B1104" s="56"/>
      <c r="C1104" s="57"/>
    </row>
    <row r="1105" spans="2:3" hidden="1" x14ac:dyDescent="0.3">
      <c r="B1105" s="56"/>
      <c r="C1105" s="57"/>
    </row>
    <row r="1106" spans="2:3" hidden="1" x14ac:dyDescent="0.3">
      <c r="B1106" s="56"/>
      <c r="C1106" s="57"/>
    </row>
    <row r="1107" spans="2:3" hidden="1" x14ac:dyDescent="0.3">
      <c r="B1107" s="56"/>
      <c r="C1107" s="57"/>
    </row>
    <row r="1108" spans="2:3" hidden="1" x14ac:dyDescent="0.3">
      <c r="B1108" s="56"/>
      <c r="C1108" s="57"/>
    </row>
    <row r="1109" spans="2:3" hidden="1" x14ac:dyDescent="0.3">
      <c r="B1109" s="56"/>
      <c r="C1109" s="57"/>
    </row>
    <row r="1110" spans="2:3" hidden="1" x14ac:dyDescent="0.3">
      <c r="B1110" s="56"/>
      <c r="C1110" s="57"/>
    </row>
    <row r="1111" spans="2:3" hidden="1" x14ac:dyDescent="0.3">
      <c r="B1111" s="56"/>
      <c r="C1111" s="57"/>
    </row>
    <row r="1112" spans="2:3" hidden="1" x14ac:dyDescent="0.3">
      <c r="B1112" s="56"/>
      <c r="C1112" s="57"/>
    </row>
    <row r="1113" spans="2:3" hidden="1" x14ac:dyDescent="0.3">
      <c r="B1113" s="56"/>
      <c r="C1113" s="57"/>
    </row>
    <row r="1114" spans="2:3" hidden="1" x14ac:dyDescent="0.3">
      <c r="B1114" s="56"/>
      <c r="C1114" s="57"/>
    </row>
    <row r="1115" spans="2:3" hidden="1" x14ac:dyDescent="0.3">
      <c r="B1115" s="56"/>
      <c r="C1115" s="57"/>
    </row>
    <row r="1116" spans="2:3" hidden="1" x14ac:dyDescent="0.3">
      <c r="B1116" s="56"/>
      <c r="C1116" s="57"/>
    </row>
    <row r="1117" spans="2:3" hidden="1" x14ac:dyDescent="0.3">
      <c r="B1117" s="56"/>
      <c r="C1117" s="57"/>
    </row>
    <row r="1118" spans="2:3" hidden="1" x14ac:dyDescent="0.3">
      <c r="B1118" s="3"/>
      <c r="C1118" s="53"/>
    </row>
  </sheetData>
  <sheetProtection sheet="1" objects="1" scenarios="1"/>
  <mergeCells count="32">
    <mergeCell ref="H226:I226"/>
    <mergeCell ref="A1:B1"/>
    <mergeCell ref="C1:E1"/>
    <mergeCell ref="F1:I1"/>
    <mergeCell ref="J1:P1"/>
    <mergeCell ref="F2:G2"/>
    <mergeCell ref="H47:I47"/>
    <mergeCell ref="H76:I76"/>
    <mergeCell ref="H101:I101"/>
    <mergeCell ref="H132:I132"/>
    <mergeCell ref="H163:I163"/>
    <mergeCell ref="H208:I208"/>
    <mergeCell ref="H535:I535"/>
    <mergeCell ref="H241:I241"/>
    <mergeCell ref="H260:I260"/>
    <mergeCell ref="H286:I286"/>
    <mergeCell ref="H301:I301"/>
    <mergeCell ref="H328:I328"/>
    <mergeCell ref="H358:I358"/>
    <mergeCell ref="H376:I376"/>
    <mergeCell ref="H410:I410"/>
    <mergeCell ref="H436:I436"/>
    <mergeCell ref="H491:I491"/>
    <mergeCell ref="H507:I507"/>
    <mergeCell ref="H695:I695"/>
    <mergeCell ref="H710:I710"/>
    <mergeCell ref="H554:I554"/>
    <mergeCell ref="H583:I583"/>
    <mergeCell ref="H602:I602"/>
    <mergeCell ref="H618:I618"/>
    <mergeCell ref="H650:I650"/>
    <mergeCell ref="H669:I669"/>
  </mergeCells>
  <pageMargins left="1.1811023622047245" right="0.19685039370078741" top="0.39370078740157483" bottom="0.39370078740157483" header="0.19685039370078741" footer="0.1968503937007874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| RECAP</vt:lpstr>
      <vt:lpstr>INSTALLATION</vt:lpstr>
      <vt:lpstr>LINE OF 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McJim Maata</dc:creator>
  <cp:lastModifiedBy>McJim Maata</cp:lastModifiedBy>
  <cp:lastPrinted>2024-04-02T15:07:08Z</cp:lastPrinted>
  <dcterms:created xsi:type="dcterms:W3CDTF">2024-02-17T08:49:58Z</dcterms:created>
  <dcterms:modified xsi:type="dcterms:W3CDTF">2024-04-02T15:07:55Z</dcterms:modified>
</cp:coreProperties>
</file>